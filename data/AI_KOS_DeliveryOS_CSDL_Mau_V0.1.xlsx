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1902b88e8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349e4c6a034462d"/>
    <x:sheet xmlns:r="http://schemas.openxmlformats.org/officeDocument/2006/relationships" name="Du_an" sheetId="2" r:id="R1037cb5c6ca74624"/>
    <x:sheet xmlns:r="http://schemas.openxmlformats.org/officeDocument/2006/relationships" name="Cong_viec" sheetId="3" r:id="Ra460b7aa98bc4f92"/>
    <x:sheet xmlns:r="http://schemas.openxmlformats.org/officeDocument/2006/relationships" name="Du_toan_Chi_phi" sheetId="4" r:id="Rd3d430a30e0f4ab9"/>
    <x:sheet xmlns:r="http://schemas.openxmlformats.org/officeDocument/2006/relationships" name="Hop_dong" sheetId="5" r:id="R62f7e706cb374083"/>
    <x:sheet xmlns:r="http://schemas.openxmlformats.org/officeDocument/2006/relationships" name="Vat_tu" sheetId="6" r:id="R58905f5217f340f6"/>
    <x:sheet xmlns:r="http://schemas.openxmlformats.org/officeDocument/2006/relationships" name="Nhan_cong" sheetId="7" r:id="R3e5263f2431d489b"/>
    <x:sheet xmlns:r="http://schemas.openxmlformats.org/officeDocument/2006/relationships" name="Nhat_ky" sheetId="8" r:id="Rf4705a2879fb4f79"/>
    <x:sheet xmlns:r="http://schemas.openxmlformats.org/officeDocument/2006/relationships" name="Hinh_anh" sheetId="9" r:id="Rb35e30901866410e"/>
    <x:sheet xmlns:r="http://schemas.openxmlformats.org/officeDocument/2006/relationships" name="Phat_sinh" sheetId="10" r:id="Rd6461bcd502a46e7"/>
    <x:sheet xmlns:r="http://schemas.openxmlformats.org/officeDocument/2006/relationships" name="Nghiem_thu" sheetId="11" r:id="R1d5dd3cc84574fd6"/>
    <x:sheet xmlns:r="http://schemas.openxmlformats.org/officeDocument/2006/relationships" name="Thanh_toan" sheetId="12" r:id="Rea7d15d9b5e94d07"/>
    <x:sheet xmlns:r="http://schemas.openxmlformats.org/officeDocument/2006/relationships" name="Bao_hanh_Bao_tri" sheetId="13" r:id="R152ade1c46a242ea"/>
    <x:sheet xmlns:r="http://schemas.openxmlformats.org/officeDocument/2006/relationships" name="Tu_dien_VI_EN" sheetId="14" r:id="R91aba69987f9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&quot; đ&quot;"/>
    <x:numFmt numFmtId="201" formatCode="0&quot;%&quot;"/>
    <x:numFmt numFmtId="202" formatCode="dd/mm/yyyy"/>
  </x:numFmts>
  <x:fonts count="5">
    <x:font>
      <x:sz val="11"/>
      <x:name val="Carlito"/>
    </x:font>
    <x:font>
      <x:b/>
      <x:sz val="16"/>
      <x:color rgb="FF1F1F1F"/>
      <x:name val="Times New Roman"/>
    </x:font>
    <x:font>
      <x:b/>
      <x:sz val="11"/>
      <x:color rgb="FF1F1F1F"/>
      <x:name val="Times New Roman"/>
    </x:font>
    <x:font>
      <x:sz val="11"/>
      <x:name val="Times New Roman"/>
    </x:font>
    <x:font>
      <x:b/>
      <x:sz val="11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EAF0F8"/>
      </x:patternFill>
    </x:fill>
    <x:fill>
      <x:patternFill patternType="solid">
        <x:fgColor rgb="FFD9E2F3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dc3b4186f4283" /><Relationship Type="http://schemas.openxmlformats.org/officeDocument/2006/relationships/theme" Target="/xl/theme/theme1.xml" Id="R0783d8c2378c4397" /><Relationship Type="http://schemas.openxmlformats.org/officeDocument/2006/relationships/sharedStrings" Target="/xl/sharedStrings.xml" Id="Rd599fc134020440a" /><Relationship Type="http://schemas.openxmlformats.org/officeDocument/2006/relationships/worksheet" Target="/xl/worksheets/sheet1.xml" Id="R1349e4c6a034462d" /><Relationship Type="http://schemas.openxmlformats.org/officeDocument/2006/relationships/worksheet" Target="/xl/worksheets/sheet2.xml" Id="R1037cb5c6ca74624" /><Relationship Type="http://schemas.openxmlformats.org/officeDocument/2006/relationships/worksheet" Target="/xl/worksheets/sheet3.xml" Id="Ra460b7aa98bc4f92" /><Relationship Type="http://schemas.openxmlformats.org/officeDocument/2006/relationships/worksheet" Target="/xl/worksheets/sheet4.xml" Id="Rd3d430a30e0f4ab9" /><Relationship Type="http://schemas.openxmlformats.org/officeDocument/2006/relationships/worksheet" Target="/xl/worksheets/sheet5.xml" Id="R62f7e706cb374083" /><Relationship Type="http://schemas.openxmlformats.org/officeDocument/2006/relationships/worksheet" Target="/xl/worksheets/sheet6.xml" Id="R58905f5217f340f6" /><Relationship Type="http://schemas.openxmlformats.org/officeDocument/2006/relationships/worksheet" Target="/xl/worksheets/sheet7.xml" Id="R3e5263f2431d489b" /><Relationship Type="http://schemas.openxmlformats.org/officeDocument/2006/relationships/worksheet" Target="/xl/worksheets/sheet8.xml" Id="Rf4705a2879fb4f79" /><Relationship Type="http://schemas.openxmlformats.org/officeDocument/2006/relationships/worksheet" Target="/xl/worksheets/sheet9.xml" Id="Rb35e30901866410e" /><Relationship Type="http://schemas.openxmlformats.org/officeDocument/2006/relationships/worksheet" Target="/xl/worksheets/sheet10.xml" Id="Rd6461bcd502a46e7" /><Relationship Type="http://schemas.openxmlformats.org/officeDocument/2006/relationships/worksheet" Target="/xl/worksheets/sheet11.xml" Id="R1d5dd3cc84574fd6" /><Relationship Type="http://schemas.openxmlformats.org/officeDocument/2006/relationships/worksheet" Target="/xl/worksheets/sheet12.xml" Id="Rea7d15d9b5e94d07" /><Relationship Type="http://schemas.openxmlformats.org/officeDocument/2006/relationships/worksheet" Target="/xl/worksheets/sheet13.xml" Id="R152ade1c46a242ea" /><Relationship Type="http://schemas.openxmlformats.org/officeDocument/2006/relationships/worksheet" Target="/xl/worksheets/sheet14.xml" Id="R91aba69987f9477c" /></Relationships>
</file>

<file path=xl/tables/table1.xml><?xml version="1.0" encoding="utf-8"?>
<x:table xmlns:x="http://schemas.openxmlformats.org/spreadsheetml/2006/main" id="1" name="ProjectsTable" displayName="ProjectsTable" ref="A1:Q2" headerRowCount="1" totalsRowCount="0" totalsRowShown="0">
  <x:tableColumns count="17">
    <x:tableColumn id="1" name="PROJECT_ID"/>
    <x:tableColumn id="2" name="Tên dự án"/>
    <x:tableColumn id="3" name="English Name"/>
    <x:tableColumn id="4" name="Loại dự án"/>
    <x:tableColumn id="5" name="Chủ đầu tư"/>
    <x:tableColumn id="6" name="Địa điểm"/>
    <x:tableColumn id="7" name="Ngày bắt đầu KH"/>
    <x:tableColumn id="8" name="Ngày kết thúc KH"/>
    <x:tableColumn id="9" name="Ngân sách tối đa"/>
    <x:tableColumn id="10" name="Giá trị HĐ ban đầu"/>
    <x:tableColumn id="11" name="Phát sinh được duyệt"/>
    <x:tableColumn id="12" name="Đã thanh toán"/>
    <x:tableColumn id="13" name="Tiến độ KH (%)"/>
    <x:tableColumn id="14" name="Tiến độ TT (%)"/>
    <x:tableColumn id="15" name="Trạng thái"/>
    <x:tableColumn id="16" name="Mức cảnh báo"/>
    <x:tableColumn id="17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ItemsTable" displayName="WorkItemsTable" ref="A1:P8" headerRowCount="1" totalsRowCount="0" totalsRowShown="0">
  <x:tableColumns count="16">
    <x:tableColumn id="1" name="WORK_ID"/>
    <x:tableColumn id="2" name="PROJECT_ID"/>
    <x:tableColumn id="3" name="Nhóm công việc"/>
    <x:tableColumn id="4" name="Công việc"/>
    <x:tableColumn id="5" name="ĐVT"/>
    <x:tableColumn id="6" name="Khối lượng KH"/>
    <x:tableColumn id="7" name="Đơn giá KH"/>
    <x:tableColumn id="8" name="Giá trị KH"/>
    <x:tableColumn id="9" name="Ngày bắt đầu KH"/>
    <x:tableColumn id="10" name="Ngày kết thúc KH"/>
    <x:tableColumn id="11" name="Tiến độ KH (%)"/>
    <x:tableColumn id="12" name="Tiến độ TT (%)"/>
    <x:tableColumn id="13" name="Người/Tổ phụ trách"/>
    <x:tableColumn id="14" name="Trạng thái"/>
    <x:tableColumn id="15" name="Đã nghiệm thu"/>
    <x:tableColumn id="16" name="Ghi ch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stsTable" displayName="CostsTable" ref="A1:J5" headerRowCount="1" totalsRowCount="0" totalsRowShown="0">
  <x:tableColumns count="10">
    <x:tableColumn id="1" name="COST_ID"/>
    <x:tableColumn id="2" name="PROJECT_ID"/>
    <x:tableColumn id="3" name="Nhóm chi phí"/>
    <x:tableColumn id="4" name="Nội dung"/>
    <x:tableColumn id="5" name="Ngân sách KH"/>
    <x:tableColumn id="6" name="Cam kết/Hợp đồng"/>
    <x:tableColumn id="7" name="Chi thực tế"/>
    <x:tableColumn id="8" name="Dự báo cuối kỳ"/>
    <x:tableColumn id="9" name="Chênh lệch dự báo so KH"/>
    <x:tableColumn id="10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actsTable" displayName="ContractsTable" ref="A1:M2" headerRowCount="1" totalsRowCount="0" totalsRowShown="0">
  <x:tableColumns count="13">
    <x:tableColumn id="1" name="CONTRACT_ID"/>
    <x:tableColumn id="2" name="PROJECT_ID"/>
    <x:tableColumn id="3" name="Nhà thầu/Tổ đội"/>
    <x:tableColumn id="4" name="Nội dung"/>
    <x:tableColumn id="5" name="Giá trị HĐ"/>
    <x:tableColumn id="6" name="Tạm ứng"/>
    <x:tableColumn id="7" name="Đã nghiệm thu"/>
    <x:tableColumn id="8" name="Đã thanh toán"/>
    <x:tableColumn id="9" name="Công nợ"/>
    <x:tableColumn id="10" name="Ngày ký"/>
    <x:tableColumn id="11" name="Ngày hết hạn"/>
    <x:tableColumn id="12" name="Bảo hành (tháng)"/>
    <x:tableColumn id="13" name="Ghi chú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terialsTable" displayName="MaterialsTable" ref="A1:L4" headerRowCount="1" totalsRowCount="0" totalsRowShown="0">
  <x:tableColumns count="12">
    <x:tableColumn id="1" name="MAT_ID"/>
    <x:tableColumn id="2" name="PROJECT_ID"/>
    <x:tableColumn id="3" name="Tên vật tư"/>
    <x:tableColumn id="4" name="ĐVT"/>
    <x:tableColumn id="5" name="Khối lượng KH"/>
    <x:tableColumn id="6" name="Đã mua"/>
    <x:tableColumn id="7" name="Đã sử dụng"/>
    <x:tableColumn id="8" name="Tồn"/>
    <x:tableColumn id="9" name="Đơn giá"/>
    <x:tableColumn id="10" name="Giá trị đã mua"/>
    <x:tableColumn id="11" name="Nhà cung cấp"/>
    <x:tableColumn id="12" name="Ghi ch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bourTable" displayName="LabourTable" ref="A1:J4" headerRowCount="1" totalsRowCount="0" totalsRowShown="0">
  <x:tableColumns count="10">
    <x:tableColumn id="1" name="LAB_ID"/>
    <x:tableColumn id="2" name="PROJECT_ID"/>
    <x:tableColumn id="3" name="Ngày"/>
    <x:tableColumn id="4" name="Tổ đội"/>
    <x:tableColumn id="5" name="Công việc"/>
    <x:tableColumn id="6" name="Số người"/>
    <x:tableColumn id="7" name="Số công"/>
    <x:tableColumn id="8" name="Đơn giá/công"/>
    <x:tableColumn id="9" name="Thành tiền"/>
    <x:tableColumn id="10" name="Ghi ch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ilyLogsTable" displayName="DailyLogsTable" ref="A1:K4" headerRowCount="1" totalsRowCount="0" totalsRowShown="0">
  <x:tableColumns count="11">
    <x:tableColumn id="1" name="LOG_ID"/>
    <x:tableColumn id="2" name="PROJECT_ID"/>
    <x:tableColumn id="3" name="Ngày"/>
    <x:tableColumn id="4" name="Công việc"/>
    <x:tableColumn id="5" name="Tổ đội"/>
    <x:tableColumn id="6" name="Nhân công"/>
    <x:tableColumn id="7" name="Khối lượng thực hiện"/>
    <x:tableColumn id="8" name="Thời tiết"/>
    <x:tableColumn id="9" name="Vấn đề/Sự cố"/>
    <x:tableColumn id="10" name="Trạng thái"/>
    <x:tableColumn id="11" name="Ghi chú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hotosTable" displayName="PhotosTable" ref="A1:J3" headerRowCount="1" totalsRowCount="0" totalsRowShown="0">
  <x:tableColumns count="10">
    <x:tableColumn id="1" name="PHOTO_ID"/>
    <x:tableColumn id="2" name="PROJECT_ID"/>
    <x:tableColumn id="3" name="WORK_ID"/>
    <x:tableColumn id="4" name="Ngày"/>
    <x:tableColumn id="5" name="Khu vực"/>
    <x:tableColumn id="6" name="Phân loại"/>
    <x:tableColumn id="7" name="Trước/Trong/Sau"/>
    <x:tableColumn id="8" name="Mô tả"/>
    <x:tableColumn id="9" name="Tên file/URL"/>
    <x:tableColumn id="10" name="Người tải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sTable" displayName="ChangesTable" ref="A1:M3" headerRowCount="1" totalsRowCount="0" totalsRowShown="0">
  <x:tableColumns count="13">
    <x:tableColumn id="1" name="CHANGE_ID"/>
    <x:tableColumn id="2" name="PROJECT_ID"/>
    <x:tableColumn id="3" name="WORK_ID"/>
    <x:tableColumn id="4" name="Ngày phát hiện"/>
    <x:tableColumn id="5" name="Loại phát sinh"/>
    <x:tableColumn id="6" name="Nội dung"/>
    <x:tableColumn id="7" name="Nguyên nhân"/>
    <x:tableColumn id="8" name="Giá trị đề xuất"/>
    <x:tableColumn id="9" name="Ảnh hưởng tiến độ (ngày)"/>
    <x:tableColumn id="10" name="Trạng thái phê duyệt"/>
    <x:tableColumn id="11" name="Giá trị được duyệt"/>
    <x:tableColumn id="12" name="Người duyệt"/>
    <x:tableColumn id="13" name="Ghi chú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cceptanceTable" displayName="AcceptanceTable" ref="A1:K3" headerRowCount="1" totalsRowCount="0" totalsRowShown="0">
  <x:tableColumns count="11">
    <x:tableColumn id="1" name="ACC_ID"/>
    <x:tableColumn id="2" name="PROJECT_ID"/>
    <x:tableColumn id="3" name="WORK_ID"/>
    <x:tableColumn id="4" name="Ngày nghiệm thu"/>
    <x:tableColumn id="5" name="Khối lượng nghiệm thu"/>
    <x:tableColumn id="6" name="Giá trị nghiệm thu"/>
    <x:tableColumn id="7" name="Kết quả"/>
    <x:tableColumn id="8" name="Lỗi/tồn tại"/>
    <x:tableColumn id="9" name="Hạn khắc phục"/>
    <x:tableColumn id="10" name="Người xác nhận"/>
    <x:tableColumn id="11" name="Ghi chú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ymentsTable" displayName="PaymentsTable" ref="A1:L3" headerRowCount="1" totalsRowCount="0" totalsRowShown="0">
  <x:tableColumns count="12">
    <x:tableColumn id="1" name="PAY_ID"/>
    <x:tableColumn id="2" name="PROJECT_ID"/>
    <x:tableColumn id="3" name="CONTRACT_ID"/>
    <x:tableColumn id="4" name="Đợt"/>
    <x:tableColumn id="5" name="Ngày đề nghị"/>
    <x:tableColumn id="6" name="Giá trị đề nghị"/>
    <x:tableColumn id="7" name="Giá trị được duyệt"/>
    <x:tableColumn id="8" name="Đã thanh toán"/>
    <x:tableColumn id="9" name="Ngày thanh toán"/>
    <x:tableColumn id="10" name="Hình thức"/>
    <x:tableColumn id="11" name="Trạng thái"/>
    <x:tableColumn id="12" name="Ghi chú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WarrantyTable" displayName="WarrantyTable" ref="A1:K3" headerRowCount="1" totalsRowCount="0" totalsRowShown="0">
  <x:tableColumns count="11">
    <x:tableColumn id="1" name="WM_ID"/>
    <x:tableColumn id="2" name="PROJECT_ID"/>
    <x:tableColumn id="3" name="Hạng mục/Tài sản"/>
    <x:tableColumn id="4" name="Loại"/>
    <x:tableColumn id="5" name="Ngày bắt đầu"/>
    <x:tableColumn id="6" name="Ngày kết thúc/đến hạn"/>
    <x:tableColumn id="7" name="Nhà thầu phụ trách"/>
    <x:tableColumn id="8" name="Nội dung theo dõi"/>
    <x:tableColumn id="9" name="Trạng thái"/>
    <x:tableColumn id="10" name="Chi phí"/>
    <x:tableColumn id="11" name="Ghi chú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lossaryTable" displayName="GlossaryTable" ref="A1:C12" headerRowCount="1" totalsRowCount="0" totalsRowShown="0">
  <x:tableColumns count="3">
    <x:tableColumn id="1" name="English"/>
    <x:tableColumn id="2" name="Tiếng Việt"/>
    <x:tableColumn id="3" name="Hiểu đơn giả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b9c4242b0343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3f54d485a44d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4d6060ae574e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18d28d607a4e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aff5bdc75847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97a6ae08bb4e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3bc8146bf4a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1f9bdec19247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c7f96ff38f4d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8412b2f10b948b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064b21e085b49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0654cab1a7a471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c09cd8aed8c4ec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28" hidden="0" customWidth="1"/>
    <x:col min="5" max="5" width="18" hidden="0" customWidth="1"/>
    <x:col min="6" max="6" width="4" hidden="0" customWidth="1"/>
    <x:col min="7" max="7" width="18" hidden="0" customWidth="1"/>
    <x:col min="8" max="8" width="18" hidden="0" customWidth="1"/>
  </x:cols>
  <x:sheetData>
    <x:row r="1">
      <x:c r="A1" s="5" t="str">
        <x:v>AI-KOS DeliveryOS V0.1 – Dashboard dự án mẫu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Chỉ tiêu</x:v>
      </x:c>
      <x:c r="B3" s="14" t="str">
        <x:v>Giá trị</x:v>
      </x:c>
      <x:c r="D3" s="14" t="str">
        <x:v>Cảnh báo điều hành</x:v>
      </x:c>
      <x:c r="E3" s="14" t="str">
        <x:v>Giá trị</x:v>
      </x:c>
    </x:row>
    <x:row r="4">
      <x:c r="A4" s="21" t="str">
        <x:v>PROJECT_ID</x:v>
      </x:c>
      <x:c r="B4" s="21" t="str">
        <x:v>LXS-REPAIR-2026-001</x:v>
      </x:c>
      <x:c r="D4" s="21" t="str">
        <x:v>Công việc đang thực hiện</x:v>
      </x:c>
      <x:c r="E4" s="21" t="n">
        <x:v>3</x:v>
      </x:c>
    </x:row>
    <x:row r="5">
      <x:c r="A5" s="21" t="str">
        <x:v>Ngân sách tối đa</x:v>
      </x:c>
      <x:c r="B5" s="24" t="n">
        <x:v>500000000</x:v>
      </x:c>
      <x:c r="D5" s="21" t="str">
        <x:v>Công việc chưa bắt đầu</x:v>
      </x:c>
      <x:c r="E5" s="21" t="n">
        <x:v>1</x:v>
      </x:c>
    </x:row>
    <x:row r="6">
      <x:c r="A6" s="21" t="str">
        <x:v>Giá trị HĐ ban đầu</x:v>
      </x:c>
      <x:c r="B6" s="24" t="n">
        <x:v>420000000</x:v>
      </x:c>
      <x:c r="D6" s="21" t="str">
        <x:v>Phát sinh chờ duyệt</x:v>
      </x:c>
      <x:c r="E6" s="21" t="n">
        <x:v>1</x:v>
      </x:c>
    </x:row>
    <x:row r="7">
      <x:c r="A7" s="21" t="str">
        <x:v>Phát sinh được duyệt</x:v>
      </x:c>
      <x:c r="B7" s="24" t="n">
        <x:v>15000000</x:v>
      </x:c>
      <x:c r="D7" s="21" t="str">
        <x:v>Giá trị phát sinh chờ duyệt</x:v>
      </x:c>
      <x:c r="E7" s="24" t="n">
        <x:v>6500000</x:v>
      </x:c>
    </x:row>
    <x:row r="8">
      <x:c r="A8" s="21" t="str">
        <x:v>Đã thanh toán</x:v>
      </x:c>
      <x:c r="B8" s="24" t="n">
        <x:v>220000000</x:v>
      </x:c>
      <x:c r="D8" s="21" t="str">
        <x:v>Hạng mục đã nghiệm thu</x:v>
      </x:c>
      <x:c r="E8" s="24" t="n">
        <x:v>2</x:v>
      </x:c>
    </x:row>
    <x:row r="9">
      <x:c r="A9" s="21" t="str">
        <x:v>Tiến độ kế hoạch (%)</x:v>
      </x:c>
      <x:c r="B9" s="26" t="n">
        <x:v>70</x:v>
      </x:c>
      <x:c r="D9" s="21" t="str">
        <x:v>Khoản thanh toán</x:v>
      </x:c>
      <x:c r="E9" s="24" t="n">
        <x:v>2</x:v>
      </x:c>
    </x:row>
    <x:row r="10">
      <x:c r="A10" s="21" t="str">
        <x:v>Tiến độ thực tế (%)</x:v>
      </x:c>
      <x:c r="B10" s="26" t="n">
        <x:v>62</x:v>
      </x:c>
      <x:c r="D10" s="21" t="str">
        <x:v>Dự báo chi phí cuối kỳ</x:v>
      </x:c>
      <x:c r="E10" s="24" t="n">
        <x:v>480000000</x:v>
      </x:c>
    </x:row>
    <x:row r="11">
      <x:c r="A11" s="21" t="str">
        <x:v>Chênh lệch tiến độ (%)</x:v>
      </x:c>
      <x:c r="B11" s="26" t="n">
        <x:f>B10-B9</x:f>
        <x:v>-8</x:v>
      </x:c>
      <x:c r="D11" s="21" t="str">
        <x:v>Dư địa ngân sách</x:v>
      </x:c>
      <x:c r="E11" s="24" t="n">
        <x:f>B5-E10</x:f>
        <x:v>20000000</x:v>
      </x:c>
    </x:row>
    <x:row r="13">
      <x:c r="A13" s="30" t="str">
        <x:v>Nguyên tắc V0.1: Kế hoạch – Thực tế – Chênh lệch; mọi phát sinh, nghiệm thu và thanh toán phải có người xác nhận.</x:v>
      </x:c>
      <x:c r="B13" s="30"/>
      <x:c r="C13" s="30"/>
      <x:c r="D13" s="30"/>
      <x:c r="E13" s="30"/>
      <x:c r="F13" s="30"/>
      <x:c r="G13" s="30"/>
      <x:c r="H13" s="30"/>
    </x:row>
  </x:sheetData>
  <x:mergeCells>
    <x:mergeCell ref="A1:H1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2" hidden="0" customWidth="1"/>
    <x:col min="4" max="4" width="20" hidden="0" customWidth="1"/>
    <x:col min="5" max="5" width="20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4" hidden="0" customWidth="1"/>
    <x:col min="15" max="15" width="18" hidden="0" customWidth="1"/>
    <x:col min="16" max="16" width="14" hidden="0" customWidth="1"/>
    <x:col min="17" max="17" width="32" hidden="0" customWidth="1"/>
  </x:cols>
  <x:sheetData>
    <x:row r="1">
      <x:c r="A1" s="14" t="str">
        <x:v>PROJECT_ID</x:v>
      </x:c>
      <x:c r="B1" s="14" t="str">
        <x:v>Tên dự án</x:v>
      </x:c>
      <x:c r="C1" s="14" t="str">
        <x:v>English Name</x:v>
      </x:c>
      <x:c r="D1" s="14" t="str">
        <x:v>Loại dự án</x:v>
      </x:c>
      <x:c r="E1" s="14" t="str">
        <x:v>Chủ đầu tư</x:v>
      </x:c>
      <x:c r="F1" s="14" t="str">
        <x:v>Địa điểm</x:v>
      </x:c>
      <x:c r="G1" s="14" t="str">
        <x:v>Ngày bắt đầu KH</x:v>
      </x:c>
      <x:c r="H1" s="14" t="str">
        <x:v>Ngày kết thúc KH</x:v>
      </x:c>
      <x:c r="I1" s="14" t="str">
        <x:v>Ngân sách tối đa</x:v>
      </x:c>
      <x:c r="J1" s="14" t="str">
        <x:v>Giá trị HĐ ban đầu</x:v>
      </x:c>
      <x:c r="K1" s="14" t="str">
        <x:v>Phát sinh được duyệt</x:v>
      </x:c>
      <x:c r="L1" s="14" t="str">
        <x:v>Đã thanh toán</x:v>
      </x:c>
      <x:c r="M1" s="14" t="str">
        <x:v>Tiến độ KH (%)</x:v>
      </x:c>
      <x:c r="N1" s="14" t="str">
        <x:v>Tiến độ TT (%)</x:v>
      </x:c>
      <x:c r="O1" s="14" t="str">
        <x:v>Trạng thái</x:v>
      </x:c>
      <x:c r="P1" s="14" t="str">
        <x:v>Mức cảnh báo</x:v>
      </x:c>
      <x:c r="Q1" s="14" t="str">
        <x:v>Ghi chú</x:v>
      </x:c>
    </x:row>
    <x:row r="2">
      <x:c r="A2" t="str">
        <x:v>LXS-REPAIR-2026-001</x:v>
      </x:c>
      <x:c r="B2" t="str">
        <x:v>Sửa chữa, cải tạo nhà ở cũ – Dự án mẫu 01</x:v>
      </x:c>
      <x:c r="C2" t="str">
        <x:v>Old House Renovation – Sample Project 01</x:v>
      </x:c>
      <x:c r="D2" t="str">
        <x:v>Sửa chữa – cải tạo</x:v>
      </x:c>
      <x:c r="E2" t="str">
        <x:v>Chủ đầu tư mẫu</x:v>
      </x:c>
      <x:c r="F2" t="str">
        <x:v>Đắk Lắk</x:v>
      </x:c>
      <x:c r="G2" s="34" t="n">
        <x:v>46266</x:v>
      </x:c>
      <x:c r="H2" s="34" t="n">
        <x:v>46325</x:v>
      </x:c>
      <x:c r="I2" s="36" t="n">
        <x:v>500000000</x:v>
      </x:c>
      <x:c r="J2" s="36" t="n">
        <x:v>420000000</x:v>
      </x:c>
      <x:c r="K2" s="36" t="n">
        <x:v>15000000</x:v>
      </x:c>
      <x:c r="L2" s="36" t="n">
        <x:v>220000000</x:v>
      </x:c>
      <x:c r="M2" s="38" t="n">
        <x:v>70</x:v>
      </x:c>
      <x:c r="N2" s="38" t="n">
        <x:v>62</x:v>
      </x:c>
      <x:c r="O2" t="str">
        <x:v>Đang thi công</x:v>
      </x:c>
      <x:c r="P2" t="str">
        <x:v>Vàng</x:v>
      </x:c>
      <x:c r="Q2" t="str">
        <x:v>Dữ liệu mẫu để chạy MVP V0.1</x:v>
      </x:c>
    </x:row>
    <x:row r="3">
      <x:c r="G3" s="34"/>
      <x:c r="H3" s="34"/>
      <x:c r="I3" s="36"/>
      <x:c r="J3" s="36"/>
      <x:c r="K3" s="36"/>
      <x:c r="L3" s="36"/>
      <x:c r="M3" s="38"/>
      <x:c r="N3" s="38"/>
    </x:row>
    <x:row r="4">
      <x:c r="G4" s="34"/>
      <x:c r="H4" s="34"/>
      <x:c r="I4" s="36"/>
      <x:c r="J4" s="36"/>
      <x:c r="K4" s="36"/>
      <x:c r="L4" s="36"/>
      <x:c r="M4" s="38"/>
      <x:c r="N4" s="38"/>
    </x:row>
    <x:row r="5">
      <x:c r="G5" s="34"/>
      <x:c r="H5" s="34"/>
      <x:c r="I5" s="36"/>
      <x:c r="J5" s="36"/>
      <x:c r="K5" s="36"/>
      <x:c r="L5" s="36"/>
      <x:c r="M5" s="38"/>
      <x:c r="N5" s="38"/>
    </x:row>
    <x:row r="6">
      <x:c r="G6" s="34"/>
      <x:c r="H6" s="34"/>
      <x:c r="I6" s="36"/>
      <x:c r="J6" s="36"/>
      <x:c r="K6" s="36"/>
      <x:c r="L6" s="36"/>
      <x:c r="M6" s="38"/>
      <x:c r="N6" s="38"/>
    </x:row>
    <x:row r="7">
      <x:c r="G7" s="34"/>
      <x:c r="H7" s="34"/>
      <x:c r="I7" s="36"/>
      <x:c r="J7" s="36"/>
      <x:c r="K7" s="36"/>
      <x:c r="L7" s="36"/>
      <x:c r="M7" s="38"/>
      <x:c r="N7" s="38"/>
    </x:row>
    <x:row r="8">
      <x:c r="G8" s="34"/>
      <x:c r="H8" s="34"/>
      <x:c r="I8" s="36"/>
      <x:c r="J8" s="36"/>
      <x:c r="K8" s="36"/>
      <x:c r="L8" s="36"/>
      <x:c r="M8" s="38"/>
      <x:c r="N8" s="38"/>
    </x:row>
    <x:row r="9">
      <x:c r="G9" s="34"/>
      <x:c r="H9" s="34"/>
      <x:c r="I9" s="36"/>
      <x:c r="J9" s="36"/>
      <x:c r="K9" s="36"/>
      <x:c r="L9" s="36"/>
      <x:c r="M9" s="38"/>
      <x:c r="N9" s="38"/>
    </x:row>
    <x:row r="10">
      <x:c r="G10" s="34"/>
      <x:c r="H10" s="34"/>
      <x:c r="I10" s="36"/>
      <x:c r="J10" s="36"/>
      <x:c r="K10" s="36"/>
      <x:c r="L10" s="36"/>
      <x:c r="M10" s="38"/>
      <x:c r="N10" s="38"/>
    </x:row>
    <x:row r="11">
      <x:c r="G11" s="34"/>
      <x:c r="H11" s="34"/>
      <x:c r="I11" s="36"/>
      <x:c r="J11" s="36"/>
      <x:c r="K11" s="36"/>
      <x:c r="L11" s="36"/>
      <x:c r="M11" s="38"/>
      <x:c r="N11" s="38"/>
    </x:row>
    <x:row r="12">
      <x:c r="G12" s="34"/>
      <x:c r="H12" s="34"/>
      <x:c r="I12" s="36"/>
      <x:c r="J12" s="36"/>
      <x:c r="K12" s="36"/>
      <x:c r="L12" s="36"/>
      <x:c r="M12" s="38"/>
      <x:c r="N12" s="38"/>
    </x:row>
    <x:row r="13">
      <x:c r="G13" s="34"/>
      <x:c r="H13" s="34"/>
      <x:c r="I13" s="36"/>
      <x:c r="J13" s="36"/>
      <x:c r="K13" s="36"/>
      <x:c r="L13" s="36"/>
      <x:c r="M13" s="38"/>
      <x:c r="N13" s="38"/>
    </x:row>
    <x:row r="14">
      <x:c r="G14" s="34"/>
      <x:c r="H14" s="34"/>
      <x:c r="I14" s="36"/>
      <x:c r="J14" s="36"/>
      <x:c r="K14" s="36"/>
      <x:c r="L14" s="36"/>
      <x:c r="M14" s="38"/>
      <x:c r="N14" s="38"/>
    </x:row>
    <x:row r="15">
      <x:c r="G15" s="34"/>
      <x:c r="H15" s="34"/>
      <x:c r="I15" s="36"/>
      <x:c r="J15" s="36"/>
      <x:c r="K15" s="36"/>
      <x:c r="L15" s="36"/>
      <x:c r="M15" s="38"/>
      <x:c r="N15" s="38"/>
    </x:row>
    <x:row r="16">
      <x:c r="G16" s="34"/>
      <x:c r="H16" s="34"/>
      <x:c r="I16" s="36"/>
      <x:c r="J16" s="36"/>
      <x:c r="K16" s="36"/>
      <x:c r="L16" s="36"/>
      <x:c r="M16" s="38"/>
      <x:c r="N16" s="38"/>
    </x:row>
    <x:row r="17">
      <x:c r="G17" s="34"/>
      <x:c r="H17" s="34"/>
      <x:c r="I17" s="36"/>
      <x:c r="J17" s="36"/>
      <x:c r="K17" s="36"/>
      <x:c r="L17" s="36"/>
      <x:c r="M17" s="38"/>
      <x:c r="N17" s="38"/>
    </x:row>
    <x:row r="18">
      <x:c r="G18" s="34"/>
      <x:c r="H18" s="34"/>
      <x:c r="I18" s="36"/>
      <x:c r="J18" s="36"/>
      <x:c r="K18" s="36"/>
      <x:c r="L18" s="36"/>
      <x:c r="M18" s="38"/>
      <x:c r="N18" s="38"/>
    </x:row>
    <x:row r="19">
      <x:c r="G19" s="34"/>
      <x:c r="H19" s="34"/>
      <x:c r="I19" s="36"/>
      <x:c r="J19" s="36"/>
      <x:c r="K19" s="36"/>
      <x:c r="L19" s="36"/>
      <x:c r="M19" s="38"/>
      <x:c r="N19" s="38"/>
    </x:row>
    <x:row r="20">
      <x:c r="G20" s="34"/>
      <x:c r="H20" s="34"/>
      <x:c r="I20" s="36"/>
      <x:c r="J20" s="36"/>
      <x:c r="K20" s="36"/>
      <x:c r="L20" s="36"/>
      <x:c r="M20" s="38"/>
      <x:c r="N20" s="38"/>
    </x:row>
  </x:sheetData>
  <x:pageMargins left="0.7" right="0.7" top="0.75" bottom="0.75" header="0.3" footer="0.3"/>
  <x:tableParts count="1">
    <x:tablePart xmlns:r="http://schemas.openxmlformats.org/officeDocument/2006/relationships" r:id="R82b9c4242b0343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32" hidden="0" customWidth="1"/>
    <x:col min="5" max="5" width="10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2" hidden="0" customWidth="1"/>
    <x:col min="14" max="14" width="18" hidden="0" customWidth="1"/>
    <x:col min="15" max="15" width="14" hidden="0" customWidth="1"/>
    <x:col min="16" max="16" width="28" hidden="0" customWidth="1"/>
  </x:cols>
  <x:sheetData>
    <x:row r="1">
      <x:c r="A1" s="14" t="str">
        <x:v>WORK_ID</x:v>
      </x:c>
      <x:c r="B1" s="14" t="str">
        <x:v>PROJECT_ID</x:v>
      </x:c>
      <x:c r="C1" s="14" t="str">
        <x:v>Nhóm công việc</x:v>
      </x:c>
      <x:c r="D1" s="14" t="str">
        <x:v>Công việc</x:v>
      </x:c>
      <x:c r="E1" s="14" t="str">
        <x:v>ĐVT</x:v>
      </x:c>
      <x:c r="F1" s="14" t="str">
        <x:v>Khối lượng KH</x:v>
      </x:c>
      <x:c r="G1" s="14" t="str">
        <x:v>Đơn giá KH</x:v>
      </x:c>
      <x:c r="H1" s="14" t="str">
        <x:v>Giá trị KH</x:v>
      </x:c>
      <x:c r="I1" s="14" t="str">
        <x:v>Ngày bắt đầu KH</x:v>
      </x:c>
      <x:c r="J1" s="14" t="str">
        <x:v>Ngày kết thúc KH</x:v>
      </x:c>
      <x:c r="K1" s="14" t="str">
        <x:v>Tiến độ KH (%)</x:v>
      </x:c>
      <x:c r="L1" s="14" t="str">
        <x:v>Tiến độ TT (%)</x:v>
      </x:c>
      <x:c r="M1" s="14" t="str">
        <x:v>Người/Tổ phụ trách</x:v>
      </x:c>
      <x:c r="N1" s="14" t="str">
        <x:v>Trạng thái</x:v>
      </x:c>
      <x:c r="O1" s="14" t="str">
        <x:v>Đã nghiệm thu</x:v>
      </x:c>
      <x:c r="P1" s="14" t="str">
        <x:v>Ghi chú</x:v>
      </x:c>
    </x:row>
    <x:row r="2">
      <x:c r="A2" t="str">
        <x:v>W-001</x:v>
      </x:c>
      <x:c r="B2" t="str">
        <x:v>LXS-REPAIR-2026-001</x:v>
      </x:c>
      <x:c r="C2" t="str">
        <x:v>Tháo dỡ</x:v>
      </x:c>
      <x:c r="D2" t="str">
        <x:v>Tháo mái cũ</x:v>
      </x:c>
      <x:c r="E2" t="str">
        <x:v>m2</x:v>
      </x:c>
      <x:c r="F2" t="n">
        <x:v>120</x:v>
      </x:c>
      <x:c r="G2" s="36" t="n">
        <x:v>120000</x:v>
      </x:c>
      <x:c r="H2" s="36" t="n">
        <x:v>14400000</x:v>
      </x:c>
      <x:c r="I2" s="34" t="n">
        <x:v>46266</x:v>
      </x:c>
      <x:c r="J2" s="34" t="n">
        <x:v>46269</x:v>
      </x:c>
      <x:c r="K2" s="38" t="n">
        <x:v>100</x:v>
      </x:c>
      <x:c r="L2" s="38" t="n">
        <x:v>100</x:v>
      </x:c>
      <x:c r="M2" t="str">
        <x:v>Tổ A</x:v>
      </x:c>
      <x:c r="N2" t="str">
        <x:v>Hoàn thành</x:v>
      </x:c>
      <x:c r="O2" t="str">
        <x:v>Có</x:v>
      </x:c>
      <x:c r="P2" t="str"/>
    </x:row>
    <x:row r="3">
      <x:c r="A3" t="str">
        <x:v>W-002</x:v>
      </x:c>
      <x:c r="B3" t="str">
        <x:v>LXS-REPAIR-2026-001</x:v>
      </x:c>
      <x:c r="C3" t="str">
        <x:v>Kết cấu</x:v>
      </x:c>
      <x:c r="D3" t="str">
        <x:v>Gia cường dầm</x:v>
      </x:c>
      <x:c r="E3" t="str">
        <x:v>md</x:v>
      </x:c>
      <x:c r="F3" t="n">
        <x:v>24</x:v>
      </x:c>
      <x:c r="G3" s="36" t="n">
        <x:v>850000</x:v>
      </x:c>
      <x:c r="H3" s="36" t="n">
        <x:v>20400000</x:v>
      </x:c>
      <x:c r="I3" s="34" t="n">
        <x:v>46270</x:v>
      </x:c>
      <x:c r="J3" s="34" t="n">
        <x:v>46277</x:v>
      </x:c>
      <x:c r="K3" s="38" t="n">
        <x:v>100</x:v>
      </x:c>
      <x:c r="L3" s="38" t="n">
        <x:v>100</x:v>
      </x:c>
      <x:c r="M3" t="str">
        <x:v>Tổ B</x:v>
      </x:c>
      <x:c r="N3" t="str">
        <x:v>Hoàn thành</x:v>
      </x:c>
      <x:c r="O3" t="str">
        <x:v>Có</x:v>
      </x:c>
      <x:c r="P3" t="str"/>
    </x:row>
    <x:row r="4">
      <x:c r="A4" t="str">
        <x:v>W-003</x:v>
      </x:c>
      <x:c r="B4" t="str">
        <x:v>LXS-REPAIR-2026-001</x:v>
      </x:c>
      <x:c r="C4" t="str">
        <x:v>Mái</x:v>
      </x:c>
      <x:c r="D4" t="str">
        <x:v>Chống thấm mái</x:v>
      </x:c>
      <x:c r="E4" t="str">
        <x:v>m2</x:v>
      </x:c>
      <x:c r="F4" t="n">
        <x:v>100</x:v>
      </x:c>
      <x:c r="G4" s="36" t="n">
        <x:v>180000</x:v>
      </x:c>
      <x:c r="H4" s="36" t="n">
        <x:v>18000000</x:v>
      </x:c>
      <x:c r="I4" s="34" t="n">
        <x:v>46278</x:v>
      </x:c>
      <x:c r="J4" s="34" t="n">
        <x:v>46283</x:v>
      </x:c>
      <x:c r="K4" s="38" t="n">
        <x:v>90</x:v>
      </x:c>
      <x:c r="L4" s="38" t="n">
        <x:v>70</x:v>
      </x:c>
      <x:c r="M4" t="str">
        <x:v>Tổ A</x:v>
      </x:c>
      <x:c r="N4" t="str">
        <x:v>Đang thực hiện</x:v>
      </x:c>
      <x:c r="O4" t="str">
        <x:v>Không</x:v>
      </x:c>
      <x:c r="P4" t="str">
        <x:v>Mưa ảnh hưởng tiến độ</x:v>
      </x:c>
    </x:row>
    <x:row r="5">
      <x:c r="A5" t="str">
        <x:v>W-004</x:v>
      </x:c>
      <x:c r="B5" t="str">
        <x:v>LXS-REPAIR-2026-001</x:v>
      </x:c>
      <x:c r="C5" t="str">
        <x:v>Điện</x:v>
      </x:c>
      <x:c r="D5" t="str">
        <x:v>Thay dây điện cũ</x:v>
      </x:c>
      <x:c r="E5" t="str">
        <x:v>gói</x:v>
      </x:c>
      <x:c r="F5" t="n">
        <x:v>1</x:v>
      </x:c>
      <x:c r="G5" s="36" t="n">
        <x:v>28000000</x:v>
      </x:c>
      <x:c r="H5" s="36" t="n">
        <x:v>28000000</x:v>
      </x:c>
      <x:c r="I5" s="34" t="n">
        <x:v>46280</x:v>
      </x:c>
      <x:c r="J5" s="34" t="n">
        <x:v>46290</x:v>
      </x:c>
      <x:c r="K5" s="38" t="n">
        <x:v>70</x:v>
      </x:c>
      <x:c r="L5" s="38" t="n">
        <x:v>55</x:v>
      </x:c>
      <x:c r="M5" t="str">
        <x:v>Tổ điện</x:v>
      </x:c>
      <x:c r="N5" t="str">
        <x:v>Đang thực hiện</x:v>
      </x:c>
      <x:c r="O5" t="str">
        <x:v>Không</x:v>
      </x:c>
      <x:c r="P5" t="str"/>
    </x:row>
    <x:row r="6">
      <x:c r="A6" t="str">
        <x:v>W-005</x:v>
      </x:c>
      <x:c r="B6" t="str">
        <x:v>LXS-REPAIR-2026-001</x:v>
      </x:c>
      <x:c r="C6" t="str">
        <x:v>Nước</x:v>
      </x:c>
      <x:c r="D6" t="str">
        <x:v>Thay đường cấp nước</x:v>
      </x:c>
      <x:c r="E6" t="str">
        <x:v>gói</x:v>
      </x:c>
      <x:c r="F6" t="n">
        <x:v>1</x:v>
      </x:c>
      <x:c r="G6" s="36" t="n">
        <x:v>20000000</x:v>
      </x:c>
      <x:c r="H6" s="36" t="n">
        <x:v>20000000</x:v>
      </x:c>
      <x:c r="I6" s="34" t="n">
        <x:v>46285</x:v>
      </x:c>
      <x:c r="J6" s="34" t="n">
        <x:v>46292</x:v>
      </x:c>
      <x:c r="K6" s="38" t="n">
        <x:v>55</x:v>
      </x:c>
      <x:c r="L6" s="38" t="n">
        <x:v>40</x:v>
      </x:c>
      <x:c r="M6" t="str">
        <x:v>Tổ nước</x:v>
      </x:c>
      <x:c r="N6" t="str">
        <x:v>Đang thực hiện</x:v>
      </x:c>
      <x:c r="O6" t="str">
        <x:v>Không</x:v>
      </x:c>
      <x:c r="P6" t="str"/>
    </x:row>
    <x:row r="7">
      <x:c r="A7" t="str">
        <x:v>W-006</x:v>
      </x:c>
      <x:c r="B7" t="str">
        <x:v>LXS-REPAIR-2026-001</x:v>
      </x:c>
      <x:c r="C7" t="str">
        <x:v>Hoàn thiện</x:v>
      </x:c>
      <x:c r="D7" t="str">
        <x:v>Sơn trong nhà</x:v>
      </x:c>
      <x:c r="E7" t="str">
        <x:v>m2</x:v>
      </x:c>
      <x:c r="F7" t="n">
        <x:v>420</x:v>
      </x:c>
      <x:c r="G7" s="36" t="n">
        <x:v>95000</x:v>
      </x:c>
      <x:c r="H7" s="36" t="n">
        <x:v>39900000</x:v>
      </x:c>
      <x:c r="I7" s="34" t="n">
        <x:v>46296</x:v>
      </x:c>
      <x:c r="J7" s="34" t="n">
        <x:v>46307</x:v>
      </x:c>
      <x:c r="K7" s="38" t="n">
        <x:v>20</x:v>
      </x:c>
      <x:c r="L7" s="38" t="n">
        <x:v>0</x:v>
      </x:c>
      <x:c r="M7" t="str">
        <x:v>Tổ sơn</x:v>
      </x:c>
      <x:c r="N7" t="str">
        <x:v>Chưa bắt đầu</x:v>
      </x:c>
      <x:c r="O7" t="str">
        <x:v>Không</x:v>
      </x:c>
      <x:c r="P7" t="str"/>
    </x:row>
    <x:row r="8">
      <x:c r="A8" t="str">
        <x:v>W-007</x:v>
      </x:c>
      <x:c r="B8" t="str">
        <x:v>LXS-REPAIR-2026-001</x:v>
      </x:c>
      <x:c r="C8" t="str">
        <x:v>Hoàn thiện</x:v>
      </x:c>
      <x:c r="D8" t="str">
        <x:v>Lát nền tầng 1</x:v>
      </x:c>
      <x:c r="E8" t="str">
        <x:v>m2</x:v>
      </x:c>
      <x:c r="F8" t="n">
        <x:v>95</x:v>
      </x:c>
      <x:c r="G8" s="36" t="n">
        <x:v>260000</x:v>
      </x:c>
      <x:c r="H8" s="36" t="n">
        <x:v>24700000</x:v>
      </x:c>
      <x:c r="I8" s="34" t="n">
        <x:v>46293</x:v>
      </x:c>
      <x:c r="J8" s="34" t="n">
        <x:v>46300</x:v>
      </x:c>
      <x:c r="K8" s="38" t="n">
        <x:v>35</x:v>
      </x:c>
      <x:c r="L8" s="38" t="n">
        <x:v>10</x:v>
      </x:c>
      <x:c r="M8" t="str">
        <x:v>Tổ C</x:v>
      </x:c>
      <x:c r="N8" t="str">
        <x:v>Đang thực hiện</x:v>
      </x:c>
      <x:c r="O8" t="str">
        <x:v>Không</x:v>
      </x:c>
      <x:c r="P8" t="str"/>
    </x:row>
    <x:row r="9">
      <x:c r="G9" s="36"/>
      <x:c r="H9" s="36"/>
      <x:c r="I9" s="34"/>
      <x:c r="J9" s="34"/>
      <x:c r="K9" s="38"/>
      <x:c r="L9" s="38"/>
    </x:row>
    <x:row r="10">
      <x:c r="G10" s="36"/>
      <x:c r="H10" s="36"/>
      <x:c r="I10" s="34"/>
      <x:c r="J10" s="34"/>
      <x:c r="K10" s="38"/>
      <x:c r="L10" s="38"/>
    </x:row>
    <x:row r="11">
      <x:c r="G11" s="36"/>
      <x:c r="H11" s="36"/>
      <x:c r="I11" s="34"/>
      <x:c r="J11" s="34"/>
      <x:c r="K11" s="38"/>
      <x:c r="L11" s="38"/>
    </x:row>
    <x:row r="12">
      <x:c r="G12" s="36"/>
      <x:c r="H12" s="36"/>
      <x:c r="I12" s="34"/>
      <x:c r="J12" s="34"/>
      <x:c r="K12" s="38"/>
      <x:c r="L12" s="38"/>
    </x:row>
    <x:row r="13">
      <x:c r="G13" s="36"/>
      <x:c r="H13" s="36"/>
      <x:c r="I13" s="34"/>
      <x:c r="J13" s="34"/>
      <x:c r="K13" s="38"/>
      <x:c r="L13" s="38"/>
    </x:row>
    <x:row r="14">
      <x:c r="G14" s="36"/>
      <x:c r="H14" s="36"/>
      <x:c r="I14" s="34"/>
      <x:c r="J14" s="34"/>
      <x:c r="K14" s="38"/>
      <x:c r="L14" s="38"/>
    </x:row>
    <x:row r="15">
      <x:c r="G15" s="36"/>
      <x:c r="H15" s="36"/>
      <x:c r="I15" s="34"/>
      <x:c r="J15" s="34"/>
      <x:c r="K15" s="38"/>
      <x:c r="L15" s="38"/>
    </x:row>
    <x:row r="16">
      <x:c r="G16" s="36"/>
      <x:c r="H16" s="36"/>
      <x:c r="I16" s="34"/>
      <x:c r="J16" s="34"/>
      <x:c r="K16" s="38"/>
      <x:c r="L16" s="38"/>
    </x:row>
    <x:row r="17">
      <x:c r="G17" s="36"/>
      <x:c r="H17" s="36"/>
      <x:c r="I17" s="34"/>
      <x:c r="J17" s="34"/>
      <x:c r="K17" s="38"/>
      <x:c r="L17" s="38"/>
    </x:row>
    <x:row r="18">
      <x:c r="G18" s="36"/>
      <x:c r="H18" s="36"/>
      <x:c r="I18" s="34"/>
      <x:c r="J18" s="34"/>
      <x:c r="K18" s="38"/>
      <x:c r="L18" s="38"/>
    </x:row>
    <x:row r="19">
      <x:c r="G19" s="36"/>
      <x:c r="H19" s="36"/>
      <x:c r="I19" s="34"/>
      <x:c r="J19" s="34"/>
      <x:c r="K19" s="38"/>
      <x:c r="L19" s="38"/>
    </x:row>
    <x:row r="20">
      <x:c r="G20" s="36"/>
      <x:c r="H20" s="36"/>
      <x:c r="I20" s="34"/>
      <x:c r="J20" s="34"/>
      <x:c r="K20" s="38"/>
      <x:c r="L20" s="38"/>
    </x:row>
    <x:row r="21">
      <x:c r="G21" s="36"/>
      <x:c r="H21" s="36"/>
      <x:c r="I21" s="34"/>
      <x:c r="J21" s="34"/>
      <x:c r="K21" s="38"/>
      <x:c r="L21" s="38"/>
    </x:row>
    <x:row r="22">
      <x:c r="G22" s="36"/>
      <x:c r="H22" s="36"/>
      <x:c r="I22" s="34"/>
      <x:c r="J22" s="34"/>
      <x:c r="K22" s="38"/>
      <x:c r="L22" s="38"/>
    </x:row>
    <x:row r="23">
      <x:c r="G23" s="36"/>
      <x:c r="H23" s="36"/>
      <x:c r="I23" s="34"/>
      <x:c r="J23" s="34"/>
      <x:c r="K23" s="38"/>
      <x:c r="L23" s="38"/>
    </x:row>
    <x:row r="24">
      <x:c r="G24" s="36"/>
      <x:c r="H24" s="36"/>
      <x:c r="I24" s="34"/>
      <x:c r="J24" s="34"/>
      <x:c r="K24" s="38"/>
      <x:c r="L24" s="38"/>
    </x:row>
    <x:row r="25">
      <x:c r="G25" s="36"/>
      <x:c r="H25" s="36"/>
      <x:c r="I25" s="34"/>
      <x:c r="J25" s="34"/>
      <x:c r="K25" s="38"/>
      <x:c r="L25" s="38"/>
    </x:row>
    <x:row r="26">
      <x:c r="G26" s="36"/>
      <x:c r="H26" s="36"/>
      <x:c r="I26" s="34"/>
      <x:c r="J26" s="34"/>
      <x:c r="K26" s="38"/>
      <x:c r="L26" s="38"/>
    </x:row>
    <x:row r="27">
      <x:c r="G27" s="36"/>
      <x:c r="H27" s="36"/>
      <x:c r="I27" s="34"/>
      <x:c r="J27" s="34"/>
      <x:c r="K27" s="38"/>
      <x:c r="L27" s="38"/>
    </x:row>
    <x:row r="28">
      <x:c r="G28" s="36"/>
      <x:c r="H28" s="36"/>
      <x:c r="I28" s="34"/>
      <x:c r="J28" s="34"/>
      <x:c r="K28" s="38"/>
      <x:c r="L28" s="38"/>
    </x:row>
    <x:row r="29">
      <x:c r="G29" s="36"/>
      <x:c r="H29" s="36"/>
      <x:c r="I29" s="34"/>
      <x:c r="J29" s="34"/>
      <x:c r="K29" s="38"/>
      <x:c r="L29" s="38"/>
    </x:row>
    <x:row r="30">
      <x:c r="G30" s="36"/>
      <x:c r="H30" s="36"/>
      <x:c r="I30" s="34"/>
      <x:c r="J30" s="34"/>
      <x:c r="K30" s="38"/>
      <x:c r="L30" s="38"/>
    </x:row>
    <x:row r="31">
      <x:c r="G31" s="36"/>
      <x:c r="H31" s="36"/>
      <x:c r="I31" s="34"/>
      <x:c r="J31" s="34"/>
      <x:c r="K31" s="38"/>
      <x:c r="L31" s="38"/>
    </x:row>
    <x:row r="32">
      <x:c r="G32" s="36"/>
      <x:c r="H32" s="36"/>
      <x:c r="I32" s="34"/>
      <x:c r="J32" s="34"/>
      <x:c r="K32" s="38"/>
      <x:c r="L32" s="38"/>
    </x:row>
    <x:row r="33">
      <x:c r="G33" s="36"/>
      <x:c r="H33" s="36"/>
      <x:c r="I33" s="34"/>
      <x:c r="J33" s="34"/>
      <x:c r="K33" s="38"/>
      <x:c r="L33" s="38"/>
    </x:row>
    <x:row r="34">
      <x:c r="G34" s="36"/>
      <x:c r="H34" s="36"/>
      <x:c r="I34" s="34"/>
      <x:c r="J34" s="34"/>
      <x:c r="K34" s="38"/>
      <x:c r="L34" s="38"/>
    </x:row>
    <x:row r="35">
      <x:c r="G35" s="36"/>
      <x:c r="H35" s="36"/>
      <x:c r="I35" s="34"/>
      <x:c r="J35" s="34"/>
      <x:c r="K35" s="38"/>
      <x:c r="L35" s="38"/>
    </x:row>
    <x:row r="36">
      <x:c r="G36" s="36"/>
      <x:c r="H36" s="36"/>
      <x:c r="I36" s="34"/>
      <x:c r="J36" s="34"/>
      <x:c r="K36" s="38"/>
      <x:c r="L36" s="38"/>
    </x:row>
    <x:row r="37">
      <x:c r="G37" s="36"/>
      <x:c r="H37" s="36"/>
      <x:c r="I37" s="34"/>
      <x:c r="J37" s="34"/>
      <x:c r="K37" s="38"/>
      <x:c r="L37" s="38"/>
    </x:row>
    <x:row r="38">
      <x:c r="G38" s="36"/>
      <x:c r="H38" s="36"/>
      <x:c r="I38" s="34"/>
      <x:c r="J38" s="34"/>
      <x:c r="K38" s="38"/>
      <x:c r="L38" s="38"/>
    </x:row>
    <x:row r="39">
      <x:c r="G39" s="36"/>
      <x:c r="H39" s="36"/>
      <x:c r="I39" s="34"/>
      <x:c r="J39" s="34"/>
      <x:c r="K39" s="38"/>
      <x:c r="L39" s="38"/>
    </x:row>
    <x:row r="40">
      <x:c r="G40" s="36"/>
      <x:c r="H40" s="36"/>
      <x:c r="I40" s="34"/>
      <x:c r="J40" s="34"/>
      <x:c r="K40" s="38"/>
      <x:c r="L40" s="38"/>
    </x:row>
    <x:row r="41">
      <x:c r="G41" s="36"/>
      <x:c r="H41" s="36"/>
      <x:c r="I41" s="34"/>
      <x:c r="J41" s="34"/>
      <x:c r="K41" s="38"/>
      <x:c r="L41" s="38"/>
    </x:row>
    <x:row r="42">
      <x:c r="G42" s="36"/>
      <x:c r="H42" s="36"/>
      <x:c r="I42" s="34"/>
      <x:c r="J42" s="34"/>
      <x:c r="K42" s="38"/>
      <x:c r="L42" s="38"/>
    </x:row>
    <x:row r="43">
      <x:c r="G43" s="36"/>
      <x:c r="H43" s="36"/>
      <x:c r="I43" s="34"/>
      <x:c r="J43" s="34"/>
      <x:c r="K43" s="38"/>
      <x:c r="L43" s="38"/>
    </x:row>
    <x:row r="44">
      <x:c r="G44" s="36"/>
      <x:c r="H44" s="36"/>
      <x:c r="I44" s="34"/>
      <x:c r="J44" s="34"/>
      <x:c r="K44" s="38"/>
      <x:c r="L44" s="38"/>
    </x:row>
    <x:row r="45">
      <x:c r="G45" s="36"/>
      <x:c r="H45" s="36"/>
      <x:c r="I45" s="34"/>
      <x:c r="J45" s="34"/>
      <x:c r="K45" s="38"/>
      <x:c r="L45" s="38"/>
    </x:row>
    <x:row r="46">
      <x:c r="G46" s="36"/>
      <x:c r="H46" s="36"/>
      <x:c r="I46" s="34"/>
      <x:c r="J46" s="34"/>
      <x:c r="K46" s="38"/>
      <x:c r="L46" s="38"/>
    </x:row>
    <x:row r="47">
      <x:c r="G47" s="36"/>
      <x:c r="H47" s="36"/>
      <x:c r="I47" s="34"/>
      <x:c r="J47" s="34"/>
      <x:c r="K47" s="38"/>
      <x:c r="L47" s="38"/>
    </x:row>
    <x:row r="48">
      <x:c r="G48" s="36"/>
      <x:c r="H48" s="36"/>
      <x:c r="I48" s="34"/>
      <x:c r="J48" s="34"/>
      <x:c r="K48" s="38"/>
      <x:c r="L48" s="38"/>
    </x:row>
    <x:row r="49">
      <x:c r="G49" s="36"/>
      <x:c r="H49" s="36"/>
      <x:c r="I49" s="34"/>
      <x:c r="J49" s="34"/>
      <x:c r="K49" s="38"/>
      <x:c r="L49" s="38"/>
    </x:row>
    <x:row r="50">
      <x:c r="G50" s="36"/>
      <x:c r="H50" s="36"/>
      <x:c r="I50" s="34"/>
      <x:c r="J50" s="34"/>
      <x:c r="K50" s="38"/>
      <x:c r="L50" s="38"/>
    </x:row>
    <x:row r="51">
      <x:c r="G51" s="36"/>
      <x:c r="H51" s="36"/>
      <x:c r="I51" s="34"/>
      <x:c r="J51" s="34"/>
      <x:c r="K51" s="38"/>
      <x:c r="L51" s="38"/>
    </x:row>
    <x:row r="52">
      <x:c r="G52" s="36"/>
      <x:c r="H52" s="36"/>
      <x:c r="I52" s="34"/>
      <x:c r="J52" s="34"/>
      <x:c r="K52" s="38"/>
      <x:c r="L52" s="38"/>
    </x:row>
    <x:row r="53">
      <x:c r="G53" s="36"/>
      <x:c r="H53" s="36"/>
      <x:c r="I53" s="34"/>
      <x:c r="J53" s="34"/>
      <x:c r="K53" s="38"/>
      <x:c r="L53" s="38"/>
    </x:row>
    <x:row r="54">
      <x:c r="G54" s="36"/>
      <x:c r="H54" s="36"/>
      <x:c r="I54" s="34"/>
      <x:c r="J54" s="34"/>
      <x:c r="K54" s="38"/>
      <x:c r="L54" s="38"/>
    </x:row>
    <x:row r="55">
      <x:c r="G55" s="36"/>
      <x:c r="H55" s="36"/>
      <x:c r="I55" s="34"/>
      <x:c r="J55" s="34"/>
      <x:c r="K55" s="38"/>
      <x:c r="L55" s="38"/>
    </x:row>
    <x:row r="56">
      <x:c r="G56" s="36"/>
      <x:c r="H56" s="36"/>
      <x:c r="I56" s="34"/>
      <x:c r="J56" s="34"/>
      <x:c r="K56" s="38"/>
      <x:c r="L56" s="38"/>
    </x:row>
    <x:row r="57">
      <x:c r="G57" s="36"/>
      <x:c r="H57" s="36"/>
      <x:c r="I57" s="34"/>
      <x:c r="J57" s="34"/>
      <x:c r="K57" s="38"/>
      <x:c r="L57" s="38"/>
    </x:row>
    <x:row r="58">
      <x:c r="G58" s="36"/>
      <x:c r="H58" s="36"/>
      <x:c r="I58" s="34"/>
      <x:c r="J58" s="34"/>
      <x:c r="K58" s="38"/>
      <x:c r="L58" s="38"/>
    </x:row>
    <x:row r="59">
      <x:c r="G59" s="36"/>
      <x:c r="H59" s="36"/>
      <x:c r="I59" s="34"/>
      <x:c r="J59" s="34"/>
      <x:c r="K59" s="38"/>
      <x:c r="L59" s="38"/>
    </x:row>
    <x:row r="60">
      <x:c r="G60" s="36"/>
      <x:c r="H60" s="36"/>
      <x:c r="I60" s="34"/>
      <x:c r="J60" s="34"/>
      <x:c r="K60" s="38"/>
      <x:c r="L60" s="38"/>
    </x:row>
    <x:row r="61">
      <x:c r="G61" s="36"/>
      <x:c r="H61" s="36"/>
      <x:c r="I61" s="34"/>
      <x:c r="J61" s="34"/>
      <x:c r="K61" s="38"/>
      <x:c r="L61" s="38"/>
    </x:row>
    <x:row r="62">
      <x:c r="G62" s="36"/>
      <x:c r="H62" s="36"/>
      <x:c r="I62" s="34"/>
      <x:c r="J62" s="34"/>
      <x:c r="K62" s="38"/>
      <x:c r="L62" s="38"/>
    </x:row>
    <x:row r="63">
      <x:c r="G63" s="36"/>
      <x:c r="H63" s="36"/>
      <x:c r="I63" s="34"/>
      <x:c r="J63" s="34"/>
      <x:c r="K63" s="38"/>
      <x:c r="L63" s="38"/>
    </x:row>
    <x:row r="64">
      <x:c r="G64" s="36"/>
      <x:c r="H64" s="36"/>
      <x:c r="I64" s="34"/>
      <x:c r="J64" s="34"/>
      <x:c r="K64" s="38"/>
      <x:c r="L64" s="38"/>
    </x:row>
    <x:row r="65">
      <x:c r="G65" s="36"/>
      <x:c r="H65" s="36"/>
      <x:c r="I65" s="34"/>
      <x:c r="J65" s="34"/>
      <x:c r="K65" s="38"/>
      <x:c r="L65" s="38"/>
    </x:row>
    <x:row r="66">
      <x:c r="G66" s="36"/>
      <x:c r="H66" s="36"/>
      <x:c r="I66" s="34"/>
      <x:c r="J66" s="34"/>
      <x:c r="K66" s="38"/>
      <x:c r="L66" s="38"/>
    </x:row>
    <x:row r="67">
      <x:c r="G67" s="36"/>
      <x:c r="H67" s="36"/>
      <x:c r="I67" s="34"/>
      <x:c r="J67" s="34"/>
      <x:c r="K67" s="38"/>
      <x:c r="L67" s="38"/>
    </x:row>
    <x:row r="68">
      <x:c r="G68" s="36"/>
      <x:c r="H68" s="36"/>
      <x:c r="I68" s="34"/>
      <x:c r="J68" s="34"/>
      <x:c r="K68" s="38"/>
      <x:c r="L68" s="38"/>
    </x:row>
    <x:row r="69">
      <x:c r="G69" s="36"/>
      <x:c r="H69" s="36"/>
      <x:c r="I69" s="34"/>
      <x:c r="J69" s="34"/>
      <x:c r="K69" s="38"/>
      <x:c r="L69" s="38"/>
    </x:row>
    <x:row r="70">
      <x:c r="G70" s="36"/>
      <x:c r="H70" s="36"/>
      <x:c r="I70" s="34"/>
      <x:c r="J70" s="34"/>
      <x:c r="K70" s="38"/>
      <x:c r="L70" s="38"/>
    </x:row>
    <x:row r="71">
      <x:c r="G71" s="36"/>
      <x:c r="H71" s="36"/>
      <x:c r="I71" s="34"/>
      <x:c r="J71" s="34"/>
      <x:c r="K71" s="38"/>
      <x:c r="L71" s="38"/>
    </x:row>
    <x:row r="72">
      <x:c r="G72" s="36"/>
      <x:c r="H72" s="36"/>
      <x:c r="I72" s="34"/>
      <x:c r="J72" s="34"/>
      <x:c r="K72" s="38"/>
      <x:c r="L72" s="38"/>
    </x:row>
    <x:row r="73">
      <x:c r="G73" s="36"/>
      <x:c r="H73" s="36"/>
      <x:c r="I73" s="34"/>
      <x:c r="J73" s="34"/>
      <x:c r="K73" s="38"/>
      <x:c r="L73" s="38"/>
    </x:row>
    <x:row r="74">
      <x:c r="G74" s="36"/>
      <x:c r="H74" s="36"/>
      <x:c r="I74" s="34"/>
      <x:c r="J74" s="34"/>
      <x:c r="K74" s="38"/>
      <x:c r="L74" s="38"/>
    </x:row>
    <x:row r="75">
      <x:c r="G75" s="36"/>
      <x:c r="H75" s="36"/>
      <x:c r="I75" s="34"/>
      <x:c r="J75" s="34"/>
      <x:c r="K75" s="38"/>
      <x:c r="L75" s="38"/>
    </x:row>
    <x:row r="76">
      <x:c r="G76" s="36"/>
      <x:c r="H76" s="36"/>
      <x:c r="I76" s="34"/>
      <x:c r="J76" s="34"/>
      <x:c r="K76" s="38"/>
      <x:c r="L76" s="38"/>
    </x:row>
    <x:row r="77">
      <x:c r="G77" s="36"/>
      <x:c r="H77" s="36"/>
      <x:c r="I77" s="34"/>
      <x:c r="J77" s="34"/>
      <x:c r="K77" s="38"/>
      <x:c r="L77" s="38"/>
    </x:row>
    <x:row r="78">
      <x:c r="G78" s="36"/>
      <x:c r="H78" s="36"/>
      <x:c r="I78" s="34"/>
      <x:c r="J78" s="34"/>
      <x:c r="K78" s="38"/>
      <x:c r="L78" s="38"/>
    </x:row>
    <x:row r="79">
      <x:c r="G79" s="36"/>
      <x:c r="H79" s="36"/>
      <x:c r="I79" s="34"/>
      <x:c r="J79" s="34"/>
      <x:c r="K79" s="38"/>
      <x:c r="L79" s="38"/>
    </x:row>
    <x:row r="80">
      <x:c r="G80" s="36"/>
      <x:c r="H80" s="36"/>
      <x:c r="I80" s="34"/>
      <x:c r="J80" s="34"/>
      <x:c r="K80" s="38"/>
      <x:c r="L80" s="38"/>
    </x:row>
    <x:row r="81">
      <x:c r="G81" s="36"/>
      <x:c r="H81" s="36"/>
      <x:c r="I81" s="34"/>
      <x:c r="J81" s="34"/>
      <x:c r="K81" s="38"/>
      <x:c r="L81" s="38"/>
    </x:row>
    <x:row r="82">
      <x:c r="G82" s="36"/>
      <x:c r="H82" s="36"/>
      <x:c r="I82" s="34"/>
      <x:c r="J82" s="34"/>
      <x:c r="K82" s="38"/>
      <x:c r="L82" s="38"/>
    </x:row>
    <x:row r="83">
      <x:c r="G83" s="36"/>
      <x:c r="H83" s="36"/>
      <x:c r="I83" s="34"/>
      <x:c r="J83" s="34"/>
      <x:c r="K83" s="38"/>
      <x:c r="L83" s="38"/>
    </x:row>
    <x:row r="84">
      <x:c r="G84" s="36"/>
      <x:c r="H84" s="36"/>
      <x:c r="I84" s="34"/>
      <x:c r="J84" s="34"/>
      <x:c r="K84" s="38"/>
      <x:c r="L84" s="38"/>
    </x:row>
    <x:row r="85">
      <x:c r="G85" s="36"/>
      <x:c r="H85" s="36"/>
      <x:c r="I85" s="34"/>
      <x:c r="J85" s="34"/>
      <x:c r="K85" s="38"/>
      <x:c r="L85" s="38"/>
    </x:row>
    <x:row r="86">
      <x:c r="G86" s="36"/>
      <x:c r="H86" s="36"/>
      <x:c r="I86" s="34"/>
      <x:c r="J86" s="34"/>
      <x:c r="K86" s="38"/>
      <x:c r="L86" s="38"/>
    </x:row>
    <x:row r="87">
      <x:c r="G87" s="36"/>
      <x:c r="H87" s="36"/>
      <x:c r="I87" s="34"/>
      <x:c r="J87" s="34"/>
      <x:c r="K87" s="38"/>
      <x:c r="L87" s="38"/>
    </x:row>
    <x:row r="88">
      <x:c r="G88" s="36"/>
      <x:c r="H88" s="36"/>
      <x:c r="I88" s="34"/>
      <x:c r="J88" s="34"/>
      <x:c r="K88" s="38"/>
      <x:c r="L88" s="38"/>
    </x:row>
    <x:row r="89">
      <x:c r="G89" s="36"/>
      <x:c r="H89" s="36"/>
      <x:c r="I89" s="34"/>
      <x:c r="J89" s="34"/>
      <x:c r="K89" s="38"/>
      <x:c r="L89" s="38"/>
    </x:row>
    <x:row r="90">
      <x:c r="G90" s="36"/>
      <x:c r="H90" s="36"/>
      <x:c r="I90" s="34"/>
      <x:c r="J90" s="34"/>
      <x:c r="K90" s="38"/>
      <x:c r="L90" s="38"/>
    </x:row>
    <x:row r="91">
      <x:c r="G91" s="36"/>
      <x:c r="H91" s="36"/>
      <x:c r="I91" s="34"/>
      <x:c r="J91" s="34"/>
      <x:c r="K91" s="38"/>
      <x:c r="L91" s="38"/>
    </x:row>
    <x:row r="92">
      <x:c r="G92" s="36"/>
      <x:c r="H92" s="36"/>
      <x:c r="I92" s="34"/>
      <x:c r="J92" s="34"/>
      <x:c r="K92" s="38"/>
      <x:c r="L92" s="38"/>
    </x:row>
    <x:row r="93">
      <x:c r="G93" s="36"/>
      <x:c r="H93" s="36"/>
      <x:c r="I93" s="34"/>
      <x:c r="J93" s="34"/>
      <x:c r="K93" s="38"/>
      <x:c r="L93" s="38"/>
    </x:row>
    <x:row r="94">
      <x:c r="G94" s="36"/>
      <x:c r="H94" s="36"/>
      <x:c r="I94" s="34"/>
      <x:c r="J94" s="34"/>
      <x:c r="K94" s="38"/>
      <x:c r="L94" s="38"/>
    </x:row>
    <x:row r="95">
      <x:c r="G95" s="36"/>
      <x:c r="H95" s="36"/>
      <x:c r="I95" s="34"/>
      <x:c r="J95" s="34"/>
      <x:c r="K95" s="38"/>
      <x:c r="L95" s="38"/>
    </x:row>
    <x:row r="96">
      <x:c r="G96" s="36"/>
      <x:c r="H96" s="36"/>
      <x:c r="I96" s="34"/>
      <x:c r="J96" s="34"/>
      <x:c r="K96" s="38"/>
      <x:c r="L96" s="38"/>
    </x:row>
    <x:row r="97">
      <x:c r="G97" s="36"/>
      <x:c r="H97" s="36"/>
      <x:c r="I97" s="34"/>
      <x:c r="J97" s="34"/>
      <x:c r="K97" s="38"/>
      <x:c r="L97" s="38"/>
    </x:row>
    <x:row r="98">
      <x:c r="G98" s="36"/>
      <x:c r="H98" s="36"/>
      <x:c r="I98" s="34"/>
      <x:c r="J98" s="34"/>
      <x:c r="K98" s="38"/>
      <x:c r="L98" s="38"/>
    </x:row>
    <x:row r="99">
      <x:c r="G99" s="36"/>
      <x:c r="H99" s="36"/>
      <x:c r="I99" s="34"/>
      <x:c r="J99" s="34"/>
      <x:c r="K99" s="38"/>
      <x:c r="L99" s="38"/>
    </x:row>
    <x:row r="100">
      <x:c r="G100" s="36"/>
      <x:c r="H100" s="36"/>
      <x:c r="I100" s="34"/>
      <x:c r="J100" s="34"/>
      <x:c r="K100" s="38"/>
      <x:c r="L100" s="38"/>
    </x:row>
    <x:row r="101">
      <x:c r="G101" s="36"/>
      <x:c r="H101" s="36"/>
      <x:c r="I101" s="34"/>
      <x:c r="J101" s="34"/>
      <x:c r="K101" s="38"/>
      <x:c r="L101" s="38"/>
    </x:row>
    <x:row r="102">
      <x:c r="G102" s="36"/>
      <x:c r="H102" s="36"/>
      <x:c r="I102" s="34"/>
      <x:c r="J102" s="34"/>
      <x:c r="K102" s="38"/>
      <x:c r="L102" s="38"/>
    </x:row>
    <x:row r="103">
      <x:c r="G103" s="36"/>
      <x:c r="H103" s="36"/>
      <x:c r="I103" s="34"/>
      <x:c r="J103" s="34"/>
      <x:c r="K103" s="38"/>
      <x:c r="L103" s="38"/>
    </x:row>
    <x:row r="104">
      <x:c r="G104" s="36"/>
      <x:c r="H104" s="36"/>
      <x:c r="I104" s="34"/>
      <x:c r="J104" s="34"/>
      <x:c r="K104" s="38"/>
      <x:c r="L104" s="38"/>
    </x:row>
    <x:row r="105">
      <x:c r="G105" s="36"/>
      <x:c r="H105" s="36"/>
      <x:c r="I105" s="34"/>
      <x:c r="J105" s="34"/>
      <x:c r="K105" s="38"/>
      <x:c r="L105" s="38"/>
    </x:row>
    <x:row r="106">
      <x:c r="G106" s="36"/>
      <x:c r="H106" s="36"/>
      <x:c r="I106" s="34"/>
      <x:c r="J106" s="34"/>
      <x:c r="K106" s="38"/>
      <x:c r="L106" s="38"/>
    </x:row>
    <x:row r="107">
      <x:c r="G107" s="36"/>
      <x:c r="H107" s="36"/>
      <x:c r="I107" s="34"/>
      <x:c r="J107" s="34"/>
      <x:c r="K107" s="38"/>
      <x:c r="L107" s="38"/>
    </x:row>
    <x:row r="108">
      <x:c r="G108" s="36"/>
      <x:c r="H108" s="36"/>
      <x:c r="I108" s="34"/>
      <x:c r="J108" s="34"/>
      <x:c r="K108" s="38"/>
      <x:c r="L108" s="38"/>
    </x:row>
    <x:row r="109">
      <x:c r="G109" s="36"/>
      <x:c r="H109" s="36"/>
      <x:c r="I109" s="34"/>
      <x:c r="J109" s="34"/>
      <x:c r="K109" s="38"/>
      <x:c r="L109" s="38"/>
    </x:row>
    <x:row r="110">
      <x:c r="G110" s="36"/>
      <x:c r="H110" s="36"/>
      <x:c r="I110" s="34"/>
      <x:c r="J110" s="34"/>
      <x:c r="K110" s="38"/>
      <x:c r="L110" s="38"/>
    </x:row>
    <x:row r="111">
      <x:c r="G111" s="36"/>
      <x:c r="H111" s="36"/>
      <x:c r="I111" s="34"/>
      <x:c r="J111" s="34"/>
      <x:c r="K111" s="38"/>
      <x:c r="L111" s="38"/>
    </x:row>
    <x:row r="112">
      <x:c r="G112" s="36"/>
      <x:c r="H112" s="36"/>
      <x:c r="I112" s="34"/>
      <x:c r="J112" s="34"/>
      <x:c r="K112" s="38"/>
      <x:c r="L112" s="38"/>
    </x:row>
    <x:row r="113">
      <x:c r="G113" s="36"/>
      <x:c r="H113" s="36"/>
      <x:c r="I113" s="34"/>
      <x:c r="J113" s="34"/>
      <x:c r="K113" s="38"/>
      <x:c r="L113" s="38"/>
    </x:row>
    <x:row r="114">
      <x:c r="G114" s="36"/>
      <x:c r="H114" s="36"/>
      <x:c r="I114" s="34"/>
      <x:c r="J114" s="34"/>
      <x:c r="K114" s="38"/>
      <x:c r="L114" s="38"/>
    </x:row>
    <x:row r="115">
      <x:c r="G115" s="36"/>
      <x:c r="H115" s="36"/>
      <x:c r="I115" s="34"/>
      <x:c r="J115" s="34"/>
      <x:c r="K115" s="38"/>
      <x:c r="L115" s="38"/>
    </x:row>
    <x:row r="116">
      <x:c r="G116" s="36"/>
      <x:c r="H116" s="36"/>
      <x:c r="I116" s="34"/>
      <x:c r="J116" s="34"/>
      <x:c r="K116" s="38"/>
      <x:c r="L116" s="38"/>
    </x:row>
    <x:row r="117">
      <x:c r="G117" s="36"/>
      <x:c r="H117" s="36"/>
      <x:c r="I117" s="34"/>
      <x:c r="J117" s="34"/>
      <x:c r="K117" s="38"/>
      <x:c r="L117" s="38"/>
    </x:row>
    <x:row r="118">
      <x:c r="G118" s="36"/>
      <x:c r="H118" s="36"/>
      <x:c r="I118" s="34"/>
      <x:c r="J118" s="34"/>
      <x:c r="K118" s="38"/>
      <x:c r="L118" s="38"/>
    </x:row>
    <x:row r="119">
      <x:c r="G119" s="36"/>
      <x:c r="H119" s="36"/>
      <x:c r="I119" s="34"/>
      <x:c r="J119" s="34"/>
      <x:c r="K119" s="38"/>
      <x:c r="L119" s="38"/>
    </x:row>
    <x:row r="120">
      <x:c r="G120" s="36"/>
      <x:c r="H120" s="36"/>
      <x:c r="I120" s="34"/>
      <x:c r="J120" s="34"/>
      <x:c r="K120" s="38"/>
      <x:c r="L120" s="38"/>
    </x:row>
    <x:row r="121">
      <x:c r="G121" s="36"/>
      <x:c r="H121" s="36"/>
      <x:c r="I121" s="34"/>
      <x:c r="J121" s="34"/>
      <x:c r="K121" s="38"/>
      <x:c r="L121" s="38"/>
    </x:row>
    <x:row r="122">
      <x:c r="G122" s="36"/>
      <x:c r="H122" s="36"/>
      <x:c r="I122" s="34"/>
      <x:c r="J122" s="34"/>
      <x:c r="K122" s="38"/>
      <x:c r="L122" s="38"/>
    </x:row>
    <x:row r="123">
      <x:c r="G123" s="36"/>
      <x:c r="H123" s="36"/>
      <x:c r="I123" s="34"/>
      <x:c r="J123" s="34"/>
      <x:c r="K123" s="38"/>
      <x:c r="L123" s="38"/>
    </x:row>
    <x:row r="124">
      <x:c r="G124" s="36"/>
      <x:c r="H124" s="36"/>
      <x:c r="I124" s="34"/>
      <x:c r="J124" s="34"/>
      <x:c r="K124" s="38"/>
      <x:c r="L124" s="38"/>
    </x:row>
    <x:row r="125">
      <x:c r="G125" s="36"/>
      <x:c r="H125" s="36"/>
      <x:c r="I125" s="34"/>
      <x:c r="J125" s="34"/>
      <x:c r="K125" s="38"/>
      <x:c r="L125" s="38"/>
    </x:row>
    <x:row r="126">
      <x:c r="G126" s="36"/>
      <x:c r="H126" s="36"/>
      <x:c r="I126" s="34"/>
      <x:c r="J126" s="34"/>
      <x:c r="K126" s="38"/>
      <x:c r="L126" s="38"/>
    </x:row>
    <x:row r="127">
      <x:c r="G127" s="36"/>
      <x:c r="H127" s="36"/>
      <x:c r="I127" s="34"/>
      <x:c r="J127" s="34"/>
      <x:c r="K127" s="38"/>
      <x:c r="L127" s="38"/>
    </x:row>
    <x:row r="128">
      <x:c r="G128" s="36"/>
      <x:c r="H128" s="36"/>
      <x:c r="I128" s="34"/>
      <x:c r="J128" s="34"/>
      <x:c r="K128" s="38"/>
      <x:c r="L128" s="38"/>
    </x:row>
    <x:row r="129">
      <x:c r="G129" s="36"/>
      <x:c r="H129" s="36"/>
      <x:c r="I129" s="34"/>
      <x:c r="J129" s="34"/>
      <x:c r="K129" s="38"/>
      <x:c r="L129" s="38"/>
    </x:row>
    <x:row r="130">
      <x:c r="G130" s="36"/>
      <x:c r="H130" s="36"/>
      <x:c r="I130" s="34"/>
      <x:c r="J130" s="34"/>
      <x:c r="K130" s="38"/>
      <x:c r="L130" s="38"/>
    </x:row>
    <x:row r="131">
      <x:c r="G131" s="36"/>
      <x:c r="H131" s="36"/>
      <x:c r="I131" s="34"/>
      <x:c r="J131" s="34"/>
      <x:c r="K131" s="38"/>
      <x:c r="L131" s="38"/>
    </x:row>
    <x:row r="132">
      <x:c r="G132" s="36"/>
      <x:c r="H132" s="36"/>
      <x:c r="I132" s="34"/>
      <x:c r="J132" s="34"/>
      <x:c r="K132" s="38"/>
      <x:c r="L132" s="38"/>
    </x:row>
    <x:row r="133">
      <x:c r="G133" s="36"/>
      <x:c r="H133" s="36"/>
      <x:c r="I133" s="34"/>
      <x:c r="J133" s="34"/>
      <x:c r="K133" s="38"/>
      <x:c r="L133" s="38"/>
    </x:row>
    <x:row r="134">
      <x:c r="G134" s="36"/>
      <x:c r="H134" s="36"/>
      <x:c r="I134" s="34"/>
      <x:c r="J134" s="34"/>
      <x:c r="K134" s="38"/>
      <x:c r="L134" s="38"/>
    </x:row>
    <x:row r="135">
      <x:c r="G135" s="36"/>
      <x:c r="H135" s="36"/>
      <x:c r="I135" s="34"/>
      <x:c r="J135" s="34"/>
      <x:c r="K135" s="38"/>
      <x:c r="L135" s="38"/>
    </x:row>
    <x:row r="136">
      <x:c r="G136" s="36"/>
      <x:c r="H136" s="36"/>
      <x:c r="I136" s="34"/>
      <x:c r="J136" s="34"/>
      <x:c r="K136" s="38"/>
      <x:c r="L136" s="38"/>
    </x:row>
    <x:row r="137">
      <x:c r="G137" s="36"/>
      <x:c r="H137" s="36"/>
      <x:c r="I137" s="34"/>
      <x:c r="J137" s="34"/>
      <x:c r="K137" s="38"/>
      <x:c r="L137" s="38"/>
    </x:row>
    <x:row r="138">
      <x:c r="G138" s="36"/>
      <x:c r="H138" s="36"/>
      <x:c r="I138" s="34"/>
      <x:c r="J138" s="34"/>
      <x:c r="K138" s="38"/>
      <x:c r="L138" s="38"/>
    </x:row>
    <x:row r="139">
      <x:c r="G139" s="36"/>
      <x:c r="H139" s="36"/>
      <x:c r="I139" s="34"/>
      <x:c r="J139" s="34"/>
      <x:c r="K139" s="38"/>
      <x:c r="L139" s="38"/>
    </x:row>
    <x:row r="140">
      <x:c r="G140" s="36"/>
      <x:c r="H140" s="36"/>
      <x:c r="I140" s="34"/>
      <x:c r="J140" s="34"/>
      <x:c r="K140" s="38"/>
      <x:c r="L140" s="38"/>
    </x:row>
    <x:row r="141">
      <x:c r="G141" s="36"/>
      <x:c r="H141" s="36"/>
      <x:c r="I141" s="34"/>
      <x:c r="J141" s="34"/>
      <x:c r="K141" s="38"/>
      <x:c r="L141" s="38"/>
    </x:row>
    <x:row r="142">
      <x:c r="G142" s="36"/>
      <x:c r="H142" s="36"/>
      <x:c r="I142" s="34"/>
      <x:c r="J142" s="34"/>
      <x:c r="K142" s="38"/>
      <x:c r="L142" s="38"/>
    </x:row>
    <x:row r="143">
      <x:c r="G143" s="36"/>
      <x:c r="H143" s="36"/>
      <x:c r="I143" s="34"/>
      <x:c r="J143" s="34"/>
      <x:c r="K143" s="38"/>
      <x:c r="L143" s="38"/>
    </x:row>
    <x:row r="144">
      <x:c r="G144" s="36"/>
      <x:c r="H144" s="36"/>
      <x:c r="I144" s="34"/>
      <x:c r="J144" s="34"/>
      <x:c r="K144" s="38"/>
      <x:c r="L144" s="38"/>
    </x:row>
    <x:row r="145">
      <x:c r="G145" s="36"/>
      <x:c r="H145" s="36"/>
      <x:c r="I145" s="34"/>
      <x:c r="J145" s="34"/>
      <x:c r="K145" s="38"/>
      <x:c r="L145" s="38"/>
    </x:row>
    <x:row r="146">
      <x:c r="G146" s="36"/>
      <x:c r="H146" s="36"/>
      <x:c r="I146" s="34"/>
      <x:c r="J146" s="34"/>
      <x:c r="K146" s="38"/>
      <x:c r="L146" s="38"/>
    </x:row>
    <x:row r="147">
      <x:c r="G147" s="36"/>
      <x:c r="H147" s="36"/>
      <x:c r="I147" s="34"/>
      <x:c r="J147" s="34"/>
      <x:c r="K147" s="38"/>
      <x:c r="L147" s="38"/>
    </x:row>
    <x:row r="148">
      <x:c r="G148" s="36"/>
      <x:c r="H148" s="36"/>
      <x:c r="I148" s="34"/>
      <x:c r="J148" s="34"/>
      <x:c r="K148" s="38"/>
      <x:c r="L148" s="38"/>
    </x:row>
    <x:row r="149">
      <x:c r="G149" s="36"/>
      <x:c r="H149" s="36"/>
      <x:c r="I149" s="34"/>
      <x:c r="J149" s="34"/>
      <x:c r="K149" s="38"/>
      <x:c r="L149" s="38"/>
    </x:row>
    <x:row r="150">
      <x:c r="G150" s="36"/>
      <x:c r="H150" s="36"/>
      <x:c r="I150" s="34"/>
      <x:c r="J150" s="34"/>
      <x:c r="K150" s="38"/>
      <x:c r="L150" s="38"/>
    </x:row>
    <x:row r="151">
      <x:c r="G151" s="36"/>
      <x:c r="H151" s="36"/>
      <x:c r="I151" s="34"/>
      <x:c r="J151" s="34"/>
      <x:c r="K151" s="38"/>
      <x:c r="L151" s="38"/>
    </x:row>
    <x:row r="152">
      <x:c r="G152" s="36"/>
      <x:c r="H152" s="36"/>
      <x:c r="I152" s="34"/>
      <x:c r="J152" s="34"/>
      <x:c r="K152" s="38"/>
      <x:c r="L152" s="38"/>
    </x:row>
    <x:row r="153">
      <x:c r="G153" s="36"/>
      <x:c r="H153" s="36"/>
      <x:c r="I153" s="34"/>
      <x:c r="J153" s="34"/>
      <x:c r="K153" s="38"/>
      <x:c r="L153" s="38"/>
    </x:row>
    <x:row r="154">
      <x:c r="G154" s="36"/>
      <x:c r="H154" s="36"/>
      <x:c r="I154" s="34"/>
      <x:c r="J154" s="34"/>
      <x:c r="K154" s="38"/>
      <x:c r="L154" s="38"/>
    </x:row>
    <x:row r="155">
      <x:c r="G155" s="36"/>
      <x:c r="H155" s="36"/>
      <x:c r="I155" s="34"/>
      <x:c r="J155" s="34"/>
      <x:c r="K155" s="38"/>
      <x:c r="L155" s="38"/>
    </x:row>
    <x:row r="156">
      <x:c r="G156" s="36"/>
      <x:c r="H156" s="36"/>
      <x:c r="I156" s="34"/>
      <x:c r="J156" s="34"/>
      <x:c r="K156" s="38"/>
      <x:c r="L156" s="38"/>
    </x:row>
    <x:row r="157">
      <x:c r="G157" s="36"/>
      <x:c r="H157" s="36"/>
      <x:c r="I157" s="34"/>
      <x:c r="J157" s="34"/>
      <x:c r="K157" s="38"/>
      <x:c r="L157" s="38"/>
    </x:row>
    <x:row r="158">
      <x:c r="G158" s="36"/>
      <x:c r="H158" s="36"/>
      <x:c r="I158" s="34"/>
      <x:c r="J158" s="34"/>
      <x:c r="K158" s="38"/>
      <x:c r="L158" s="38"/>
    </x:row>
    <x:row r="159">
      <x:c r="G159" s="36"/>
      <x:c r="H159" s="36"/>
      <x:c r="I159" s="34"/>
      <x:c r="J159" s="34"/>
      <x:c r="K159" s="38"/>
      <x:c r="L159" s="38"/>
    </x:row>
    <x:row r="160">
      <x:c r="G160" s="36"/>
      <x:c r="H160" s="36"/>
      <x:c r="I160" s="34"/>
      <x:c r="J160" s="34"/>
      <x:c r="K160" s="38"/>
      <x:c r="L160" s="38"/>
    </x:row>
    <x:row r="161">
      <x:c r="G161" s="36"/>
      <x:c r="H161" s="36"/>
      <x:c r="I161" s="34"/>
      <x:c r="J161" s="34"/>
      <x:c r="K161" s="38"/>
      <x:c r="L161" s="38"/>
    </x:row>
    <x:row r="162">
      <x:c r="G162" s="36"/>
      <x:c r="H162" s="36"/>
      <x:c r="I162" s="34"/>
      <x:c r="J162" s="34"/>
      <x:c r="K162" s="38"/>
      <x:c r="L162" s="38"/>
    </x:row>
    <x:row r="163">
      <x:c r="G163" s="36"/>
      <x:c r="H163" s="36"/>
      <x:c r="I163" s="34"/>
      <x:c r="J163" s="34"/>
      <x:c r="K163" s="38"/>
      <x:c r="L163" s="38"/>
    </x:row>
    <x:row r="164">
      <x:c r="G164" s="36"/>
      <x:c r="H164" s="36"/>
      <x:c r="I164" s="34"/>
      <x:c r="J164" s="34"/>
      <x:c r="K164" s="38"/>
      <x:c r="L164" s="38"/>
    </x:row>
    <x:row r="165">
      <x:c r="G165" s="36"/>
      <x:c r="H165" s="36"/>
      <x:c r="I165" s="34"/>
      <x:c r="J165" s="34"/>
      <x:c r="K165" s="38"/>
      <x:c r="L165" s="38"/>
    </x:row>
    <x:row r="166">
      <x:c r="G166" s="36"/>
      <x:c r="H166" s="36"/>
      <x:c r="I166" s="34"/>
      <x:c r="J166" s="34"/>
      <x:c r="K166" s="38"/>
      <x:c r="L166" s="38"/>
    </x:row>
    <x:row r="167">
      <x:c r="G167" s="36"/>
      <x:c r="H167" s="36"/>
      <x:c r="I167" s="34"/>
      <x:c r="J167" s="34"/>
      <x:c r="K167" s="38"/>
      <x:c r="L167" s="38"/>
    </x:row>
    <x:row r="168">
      <x:c r="G168" s="36"/>
      <x:c r="H168" s="36"/>
      <x:c r="I168" s="34"/>
      <x:c r="J168" s="34"/>
      <x:c r="K168" s="38"/>
      <x:c r="L168" s="38"/>
    </x:row>
    <x:row r="169">
      <x:c r="G169" s="36"/>
      <x:c r="H169" s="36"/>
      <x:c r="I169" s="34"/>
      <x:c r="J169" s="34"/>
      <x:c r="K169" s="38"/>
      <x:c r="L169" s="38"/>
    </x:row>
    <x:row r="170">
      <x:c r="G170" s="36"/>
      <x:c r="H170" s="36"/>
      <x:c r="I170" s="34"/>
      <x:c r="J170" s="34"/>
      <x:c r="K170" s="38"/>
      <x:c r="L170" s="38"/>
    </x:row>
    <x:row r="171">
      <x:c r="G171" s="36"/>
      <x:c r="H171" s="36"/>
      <x:c r="I171" s="34"/>
      <x:c r="J171" s="34"/>
      <x:c r="K171" s="38"/>
      <x:c r="L171" s="38"/>
    </x:row>
    <x:row r="172">
      <x:c r="G172" s="36"/>
      <x:c r="H172" s="36"/>
      <x:c r="I172" s="34"/>
      <x:c r="J172" s="34"/>
      <x:c r="K172" s="38"/>
      <x:c r="L172" s="38"/>
    </x:row>
    <x:row r="173">
      <x:c r="G173" s="36"/>
      <x:c r="H173" s="36"/>
      <x:c r="I173" s="34"/>
      <x:c r="J173" s="34"/>
      <x:c r="K173" s="38"/>
      <x:c r="L173" s="38"/>
    </x:row>
    <x:row r="174">
      <x:c r="G174" s="36"/>
      <x:c r="H174" s="36"/>
      <x:c r="I174" s="34"/>
      <x:c r="J174" s="34"/>
      <x:c r="K174" s="38"/>
      <x:c r="L174" s="38"/>
    </x:row>
    <x:row r="175">
      <x:c r="G175" s="36"/>
      <x:c r="H175" s="36"/>
      <x:c r="I175" s="34"/>
      <x:c r="J175" s="34"/>
      <x:c r="K175" s="38"/>
      <x:c r="L175" s="38"/>
    </x:row>
    <x:row r="176">
      <x:c r="G176" s="36"/>
      <x:c r="H176" s="36"/>
      <x:c r="I176" s="34"/>
      <x:c r="J176" s="34"/>
      <x:c r="K176" s="38"/>
      <x:c r="L176" s="38"/>
    </x:row>
    <x:row r="177">
      <x:c r="G177" s="36"/>
      <x:c r="H177" s="36"/>
      <x:c r="I177" s="34"/>
      <x:c r="J177" s="34"/>
      <x:c r="K177" s="38"/>
      <x:c r="L177" s="38"/>
    </x:row>
    <x:row r="178">
      <x:c r="G178" s="36"/>
      <x:c r="H178" s="36"/>
      <x:c r="I178" s="34"/>
      <x:c r="J178" s="34"/>
      <x:c r="K178" s="38"/>
      <x:c r="L178" s="38"/>
    </x:row>
    <x:row r="179">
      <x:c r="G179" s="36"/>
      <x:c r="H179" s="36"/>
      <x:c r="I179" s="34"/>
      <x:c r="J179" s="34"/>
      <x:c r="K179" s="38"/>
      <x:c r="L179" s="38"/>
    </x:row>
    <x:row r="180">
      <x:c r="G180" s="36"/>
      <x:c r="H180" s="36"/>
      <x:c r="I180" s="34"/>
      <x:c r="J180" s="34"/>
      <x:c r="K180" s="38"/>
      <x:c r="L180" s="38"/>
    </x:row>
    <x:row r="181">
      <x:c r="G181" s="36"/>
      <x:c r="H181" s="36"/>
      <x:c r="I181" s="34"/>
      <x:c r="J181" s="34"/>
      <x:c r="K181" s="38"/>
      <x:c r="L181" s="38"/>
    </x:row>
    <x:row r="182">
      <x:c r="G182" s="36"/>
      <x:c r="H182" s="36"/>
      <x:c r="I182" s="34"/>
      <x:c r="J182" s="34"/>
      <x:c r="K182" s="38"/>
      <x:c r="L182" s="38"/>
    </x:row>
    <x:row r="183">
      <x:c r="G183" s="36"/>
      <x:c r="H183" s="36"/>
      <x:c r="I183" s="34"/>
      <x:c r="J183" s="34"/>
      <x:c r="K183" s="38"/>
      <x:c r="L183" s="38"/>
    </x:row>
    <x:row r="184">
      <x:c r="G184" s="36"/>
      <x:c r="H184" s="36"/>
      <x:c r="I184" s="34"/>
      <x:c r="J184" s="34"/>
      <x:c r="K184" s="38"/>
      <x:c r="L184" s="38"/>
    </x:row>
    <x:row r="185">
      <x:c r="G185" s="36"/>
      <x:c r="H185" s="36"/>
      <x:c r="I185" s="34"/>
      <x:c r="J185" s="34"/>
      <x:c r="K185" s="38"/>
      <x:c r="L185" s="38"/>
    </x:row>
    <x:row r="186">
      <x:c r="G186" s="36"/>
      <x:c r="H186" s="36"/>
      <x:c r="I186" s="34"/>
      <x:c r="J186" s="34"/>
      <x:c r="K186" s="38"/>
      <x:c r="L186" s="38"/>
    </x:row>
    <x:row r="187">
      <x:c r="G187" s="36"/>
      <x:c r="H187" s="36"/>
      <x:c r="I187" s="34"/>
      <x:c r="J187" s="34"/>
      <x:c r="K187" s="38"/>
      <x:c r="L187" s="38"/>
    </x:row>
    <x:row r="188">
      <x:c r="G188" s="36"/>
      <x:c r="H188" s="36"/>
      <x:c r="I188" s="34"/>
      <x:c r="J188" s="34"/>
      <x:c r="K188" s="38"/>
      <x:c r="L188" s="38"/>
    </x:row>
    <x:row r="189">
      <x:c r="G189" s="36"/>
      <x:c r="H189" s="36"/>
      <x:c r="I189" s="34"/>
      <x:c r="J189" s="34"/>
      <x:c r="K189" s="38"/>
      <x:c r="L189" s="38"/>
    </x:row>
    <x:row r="190">
      <x:c r="G190" s="36"/>
      <x:c r="H190" s="36"/>
      <x:c r="I190" s="34"/>
      <x:c r="J190" s="34"/>
      <x:c r="K190" s="38"/>
      <x:c r="L190" s="38"/>
    </x:row>
    <x:row r="191">
      <x:c r="G191" s="36"/>
      <x:c r="H191" s="36"/>
      <x:c r="I191" s="34"/>
      <x:c r="J191" s="34"/>
      <x:c r="K191" s="38"/>
      <x:c r="L191" s="38"/>
    </x:row>
    <x:row r="192">
      <x:c r="G192" s="36"/>
      <x:c r="H192" s="36"/>
      <x:c r="I192" s="34"/>
      <x:c r="J192" s="34"/>
      <x:c r="K192" s="38"/>
      <x:c r="L192" s="38"/>
    </x:row>
    <x:row r="193">
      <x:c r="G193" s="36"/>
      <x:c r="H193" s="36"/>
      <x:c r="I193" s="34"/>
      <x:c r="J193" s="34"/>
      <x:c r="K193" s="38"/>
      <x:c r="L193" s="38"/>
    </x:row>
    <x:row r="194">
      <x:c r="G194" s="36"/>
      <x:c r="H194" s="36"/>
      <x:c r="I194" s="34"/>
      <x:c r="J194" s="34"/>
      <x:c r="K194" s="38"/>
      <x:c r="L194" s="38"/>
    </x:row>
    <x:row r="195">
      <x:c r="G195" s="36"/>
      <x:c r="H195" s="36"/>
      <x:c r="I195" s="34"/>
      <x:c r="J195" s="34"/>
      <x:c r="K195" s="38"/>
      <x:c r="L195" s="38"/>
    </x:row>
    <x:row r="196">
      <x:c r="G196" s="36"/>
      <x:c r="H196" s="36"/>
      <x:c r="I196" s="34"/>
      <x:c r="J196" s="34"/>
      <x:c r="K196" s="38"/>
      <x:c r="L196" s="38"/>
    </x:row>
    <x:row r="197">
      <x:c r="G197" s="36"/>
      <x:c r="H197" s="36"/>
      <x:c r="I197" s="34"/>
      <x:c r="J197" s="34"/>
      <x:c r="K197" s="38"/>
      <x:c r="L197" s="38"/>
    </x:row>
    <x:row r="198">
      <x:c r="G198" s="36"/>
      <x:c r="H198" s="36"/>
      <x:c r="I198" s="34"/>
      <x:c r="J198" s="34"/>
      <x:c r="K198" s="38"/>
      <x:c r="L198" s="38"/>
    </x:row>
    <x:row r="199">
      <x:c r="G199" s="36"/>
      <x:c r="H199" s="36"/>
      <x:c r="I199" s="34"/>
      <x:c r="J199" s="34"/>
      <x:c r="K199" s="38"/>
      <x:c r="L199" s="38"/>
    </x:row>
    <x:row r="200">
      <x:c r="G200" s="36"/>
      <x:c r="H200" s="36"/>
      <x:c r="I200" s="34"/>
      <x:c r="J200" s="34"/>
      <x:c r="K200" s="38"/>
      <x:c r="L200" s="38"/>
    </x:row>
  </x:sheetData>
  <x:pageMargins left="0.7" right="0.7" top="0.75" bottom="0.75" header="0.3" footer="0.3"/>
  <x:tableParts count="1">
    <x:tablePart xmlns:r="http://schemas.openxmlformats.org/officeDocument/2006/relationships" r:id="Rb03f54d485a44d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8" hidden="0" customWidth="1"/>
  </x:cols>
  <x:sheetData>
    <x:row r="1">
      <x:c r="A1" s="14" t="str">
        <x:v>COST_ID</x:v>
      </x:c>
      <x:c r="B1" s="14" t="str">
        <x:v>PROJECT_ID</x:v>
      </x:c>
      <x:c r="C1" s="14" t="str">
        <x:v>Nhóm chi phí</x:v>
      </x:c>
      <x:c r="D1" s="14" t="str">
        <x:v>Nội dung</x:v>
      </x:c>
      <x:c r="E1" s="14" t="str">
        <x:v>Ngân sách KH</x:v>
      </x:c>
      <x:c r="F1" s="14" t="str">
        <x:v>Cam kết/Hợp đồng</x:v>
      </x:c>
      <x:c r="G1" s="14" t="str">
        <x:v>Chi thực tế</x:v>
      </x:c>
      <x:c r="H1" s="14" t="str">
        <x:v>Dự báo cuối kỳ</x:v>
      </x:c>
      <x:c r="I1" s="14" t="str">
        <x:v>Chênh lệch dự báo so KH</x:v>
      </x:c>
      <x:c r="J1" s="14" t="str">
        <x:v>Ghi chú</x:v>
      </x:c>
    </x:row>
    <x:row r="2">
      <x:c r="A2" t="str">
        <x:v>C-001</x:v>
      </x:c>
      <x:c r="B2" t="str">
        <x:v>LXS-REPAIR-2026-001</x:v>
      </x:c>
      <x:c r="C2" t="str">
        <x:v>Xây lắp</x:v>
      </x:c>
      <x:c r="D2" t="str">
        <x:v>Thi công chính</x:v>
      </x:c>
      <x:c r="E2" s="36" t="n">
        <x:v>380000000</x:v>
      </x:c>
      <x:c r="F2" s="36" t="n">
        <x:v>360000000</x:v>
      </x:c>
      <x:c r="G2" s="36" t="n">
        <x:v>185000000</x:v>
      </x:c>
      <x:c r="H2" s="36" t="n">
        <x:v>390000000</x:v>
      </x:c>
      <x:c r="I2" s="36" t="n">
        <x:f>H2-E2</x:f>
        <x:v>10000000</x:v>
      </x:c>
      <x:c r="J2" t="str"/>
    </x:row>
    <x:row r="3">
      <x:c r="A3" t="str">
        <x:v>C-002</x:v>
      </x:c>
      <x:c r="B3" t="str">
        <x:v>LXS-REPAIR-2026-001</x:v>
      </x:c>
      <x:c r="C3" t="str">
        <x:v>Vật tư bổ sung</x:v>
      </x:c>
      <x:c r="D3" t="str">
        <x:v>Vật tư ngoài hợp đồng</x:v>
      </x:c>
      <x:c r="E3" s="36" t="n">
        <x:v>40000000</x:v>
      </x:c>
      <x:c r="F3" s="36" t="n">
        <x:v>35000000</x:v>
      </x:c>
      <x:c r="G3" s="36" t="n">
        <x:v>18000000</x:v>
      </x:c>
      <x:c r="H3" s="36" t="n">
        <x:v>42000000</x:v>
      </x:c>
      <x:c r="I3" s="36" t="n">
        <x:f>H3-E3</x:f>
        <x:v>2000000</x:v>
      </x:c>
      <x:c r="J3" t="str"/>
    </x:row>
    <x:row r="4">
      <x:c r="A4" t="str">
        <x:v>C-003</x:v>
      </x:c>
      <x:c r="B4" t="str">
        <x:v>LXS-REPAIR-2026-001</x:v>
      </x:c>
      <x:c r="C4" t="str">
        <x:v>Quản lý</x:v>
      </x:c>
      <x:c r="D4" t="str">
        <x:v>Giám sát và chi phí khác</x:v>
      </x:c>
      <x:c r="E4" s="36" t="n">
        <x:v>30000000</x:v>
      </x:c>
      <x:c r="F4" s="36" t="n">
        <x:v>25000000</x:v>
      </x:c>
      <x:c r="G4" s="36" t="n">
        <x:v>12000000</x:v>
      </x:c>
      <x:c r="H4" s="36" t="n">
        <x:v>28000000</x:v>
      </x:c>
      <x:c r="I4" s="36" t="n">
        <x:f>H4-E4</x:f>
        <x:v>-2000000</x:v>
      </x:c>
      <x:c r="J4" t="str"/>
    </x:row>
    <x:row r="5">
      <x:c r="A5" t="str">
        <x:v>C-004</x:v>
      </x:c>
      <x:c r="B5" t="str">
        <x:v>LXS-REPAIR-2026-001</x:v>
      </x:c>
      <x:c r="C5" t="str">
        <x:v>Dự phòng</x:v>
      </x:c>
      <x:c r="D5" t="str">
        <x:v>Dự phòng rủi ro/phát sinh</x:v>
      </x:c>
      <x:c r="E5" s="36" t="n">
        <x:v>50000000</x:v>
      </x:c>
      <x:c r="F5" s="36" t="n">
        <x:v>15000000</x:v>
      </x:c>
      <x:c r="G5" s="36" t="n">
        <x:v>5000000</x:v>
      </x:c>
      <x:c r="H5" s="36" t="n">
        <x:v>20000000</x:v>
      </x:c>
      <x:c r="I5" s="36" t="n">
        <x:f>H5-E5</x:f>
        <x:v>-30000000</x:v>
      </x:c>
      <x:c r="J5" t="str"/>
    </x:row>
  </x:sheetData>
  <x:pageMargins left="0.7" right="0.7" top="0.75" bottom="0.75" header="0.3" footer="0.3"/>
  <x:tableParts count="1">
    <x:tablePart xmlns:r="http://schemas.openxmlformats.org/officeDocument/2006/relationships" r:id="R1a4d6060ae574e5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30" hidden="0" customWidth="1"/>
    <x:col min="5" max="5" width="16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28" hidden="0" customWidth="1"/>
  </x:cols>
  <x:sheetData>
    <x:row r="1">
      <x:c r="A1" s="14" t="str">
        <x:v>CONTRACT_ID</x:v>
      </x:c>
      <x:c r="B1" s="14" t="str">
        <x:v>PROJECT_ID</x:v>
      </x:c>
      <x:c r="C1" s="14" t="str">
        <x:v>Nhà thầu/Tổ đội</x:v>
      </x:c>
      <x:c r="D1" s="14" t="str">
        <x:v>Nội dung</x:v>
      </x:c>
      <x:c r="E1" s="14" t="str">
        <x:v>Giá trị HĐ</x:v>
      </x:c>
      <x:c r="F1" s="14" t="str">
        <x:v>Tạm ứng</x:v>
      </x:c>
      <x:c r="G1" s="14" t="str">
        <x:v>Đã nghiệm thu</x:v>
      </x:c>
      <x:c r="H1" s="14" t="str">
        <x:v>Đã thanh toán</x:v>
      </x:c>
      <x:c r="I1" s="14" t="str">
        <x:v>Công nợ</x:v>
      </x:c>
      <x:c r="J1" s="14" t="str">
        <x:v>Ngày ký</x:v>
      </x:c>
      <x:c r="K1" s="14" t="str">
        <x:v>Ngày hết hạn</x:v>
      </x:c>
      <x:c r="L1" s="14" t="str">
        <x:v>Bảo hành (tháng)</x:v>
      </x:c>
      <x:c r="M1" s="14" t="str">
        <x:v>Ghi chú</x:v>
      </x:c>
    </x:row>
    <x:row r="2">
      <x:c r="A2" t="str">
        <x:v>HD-001</x:v>
      </x:c>
      <x:c r="B2" t="str">
        <x:v>LXS-REPAIR-2026-001</x:v>
      </x:c>
      <x:c r="C2" t="str">
        <x:v>Nhà thầu xây lắp mẫu</x:v>
      </x:c>
      <x:c r="D2" t="str">
        <x:v>Thi công sửa chữa chính</x:v>
      </x:c>
      <x:c r="E2" s="36" t="n">
        <x:v>420000000</x:v>
      </x:c>
      <x:c r="F2" s="36" t="n">
        <x:v>100000000</x:v>
      </x:c>
      <x:c r="G2" s="36" t="n">
        <x:v>250000000</x:v>
      </x:c>
      <x:c r="H2" s="36" t="n">
        <x:v>220000000</x:v>
      </x:c>
      <x:c r="I2" s="36" t="n">
        <x:f>G2-H2</x:f>
        <x:v>30000000</x:v>
      </x:c>
      <x:c r="J2" s="34" t="n">
        <x:v>46262</x:v>
      </x:c>
      <x:c r="K2" s="34" t="n">
        <x:v>46325</x:v>
      </x:c>
      <x:c r="L2" t="n">
        <x:v>12</x:v>
      </x:c>
      <x:c r="M2" t="str">
        <x:v>Hợp đồng mẫu</x:v>
      </x:c>
    </x:row>
    <x:row r="3">
      <x:c r="E3" s="36"/>
      <x:c r="F3" s="36"/>
      <x:c r="G3" s="36"/>
      <x:c r="H3" s="36"/>
      <x:c r="I3" s="36"/>
      <x:c r="J3" s="34"/>
      <x:c r="K3" s="34"/>
    </x:row>
    <x:row r="4">
      <x:c r="E4" s="36"/>
      <x:c r="F4" s="36"/>
      <x:c r="G4" s="36"/>
      <x:c r="H4" s="36"/>
      <x:c r="I4" s="36"/>
      <x:c r="J4" s="34"/>
      <x:c r="K4" s="34"/>
    </x:row>
    <x:row r="5">
      <x:c r="E5" s="36"/>
      <x:c r="F5" s="36"/>
      <x:c r="G5" s="36"/>
      <x:c r="H5" s="36"/>
      <x:c r="I5" s="36"/>
      <x:c r="J5" s="34"/>
      <x:c r="K5" s="34"/>
    </x:row>
    <x:row r="6">
      <x:c r="E6" s="36"/>
      <x:c r="F6" s="36"/>
      <x:c r="G6" s="36"/>
      <x:c r="H6" s="36"/>
      <x:c r="I6" s="36"/>
      <x:c r="J6" s="34"/>
      <x:c r="K6" s="34"/>
    </x:row>
    <x:row r="7">
      <x:c r="E7" s="36"/>
      <x:c r="F7" s="36"/>
      <x:c r="G7" s="36"/>
      <x:c r="H7" s="36"/>
      <x:c r="I7" s="36"/>
      <x:c r="J7" s="34"/>
      <x:c r="K7" s="34"/>
    </x:row>
    <x:row r="8">
      <x:c r="E8" s="36"/>
      <x:c r="F8" s="36"/>
      <x:c r="G8" s="36"/>
      <x:c r="H8" s="36"/>
      <x:c r="I8" s="36"/>
      <x:c r="J8" s="34"/>
      <x:c r="K8" s="34"/>
    </x:row>
    <x:row r="9">
      <x:c r="E9" s="36"/>
      <x:c r="F9" s="36"/>
      <x:c r="G9" s="36"/>
      <x:c r="H9" s="36"/>
      <x:c r="I9" s="36"/>
      <x:c r="J9" s="34"/>
      <x:c r="K9" s="34"/>
    </x:row>
    <x:row r="10">
      <x:c r="E10" s="36"/>
      <x:c r="F10" s="36"/>
      <x:c r="G10" s="36"/>
      <x:c r="H10" s="36"/>
      <x:c r="I10" s="36"/>
      <x:c r="J10" s="34"/>
      <x:c r="K10" s="34"/>
    </x:row>
    <x:row r="11">
      <x:c r="E11" s="36"/>
      <x:c r="F11" s="36"/>
      <x:c r="G11" s="36"/>
      <x:c r="H11" s="36"/>
      <x:c r="I11" s="36"/>
      <x:c r="J11" s="34"/>
      <x:c r="K11" s="34"/>
    </x:row>
    <x:row r="12">
      <x:c r="E12" s="36"/>
      <x:c r="F12" s="36"/>
      <x:c r="G12" s="36"/>
      <x:c r="H12" s="36"/>
      <x:c r="I12" s="36"/>
      <x:c r="J12" s="34"/>
      <x:c r="K12" s="34"/>
    </x:row>
    <x:row r="13">
      <x:c r="E13" s="36"/>
      <x:c r="F13" s="36"/>
      <x:c r="G13" s="36"/>
      <x:c r="H13" s="36"/>
      <x:c r="I13" s="36"/>
      <x:c r="J13" s="34"/>
      <x:c r="K13" s="34"/>
    </x:row>
    <x:row r="14">
      <x:c r="E14" s="36"/>
      <x:c r="F14" s="36"/>
      <x:c r="G14" s="36"/>
      <x:c r="H14" s="36"/>
      <x:c r="I14" s="36"/>
      <x:c r="J14" s="34"/>
      <x:c r="K14" s="34"/>
    </x:row>
    <x:row r="15">
      <x:c r="E15" s="36"/>
      <x:c r="F15" s="36"/>
      <x:c r="G15" s="36"/>
      <x:c r="H15" s="36"/>
      <x:c r="I15" s="36"/>
      <x:c r="J15" s="34"/>
      <x:c r="K15" s="34"/>
    </x:row>
    <x:row r="16">
      <x:c r="E16" s="36"/>
      <x:c r="F16" s="36"/>
      <x:c r="G16" s="36"/>
      <x:c r="H16" s="36"/>
      <x:c r="I16" s="36"/>
      <x:c r="J16" s="34"/>
      <x:c r="K16" s="34"/>
    </x:row>
    <x:row r="17">
      <x:c r="E17" s="36"/>
      <x:c r="F17" s="36"/>
      <x:c r="G17" s="36"/>
      <x:c r="H17" s="36"/>
      <x:c r="I17" s="36"/>
      <x:c r="J17" s="34"/>
      <x:c r="K17" s="34"/>
    </x:row>
    <x:row r="18">
      <x:c r="E18" s="36"/>
      <x:c r="F18" s="36"/>
      <x:c r="G18" s="36"/>
      <x:c r="H18" s="36"/>
      <x:c r="I18" s="36"/>
      <x:c r="J18" s="34"/>
      <x:c r="K18" s="34"/>
    </x:row>
    <x:row r="19">
      <x:c r="E19" s="36"/>
      <x:c r="F19" s="36"/>
      <x:c r="G19" s="36"/>
      <x:c r="H19" s="36"/>
      <x:c r="I19" s="36"/>
      <x:c r="J19" s="34"/>
      <x:c r="K19" s="34"/>
    </x:row>
    <x:row r="20">
      <x:c r="E20" s="36"/>
      <x:c r="F20" s="36"/>
      <x:c r="G20" s="36"/>
      <x:c r="H20" s="36"/>
      <x:c r="I20" s="36"/>
      <x:c r="J20" s="34"/>
      <x:c r="K20" s="34"/>
    </x:row>
    <x:row r="21">
      <x:c r="E21" s="36"/>
      <x:c r="F21" s="36"/>
      <x:c r="G21" s="36"/>
      <x:c r="H21" s="36"/>
      <x:c r="I21" s="36"/>
      <x:c r="J21" s="34"/>
      <x:c r="K21" s="34"/>
    </x:row>
    <x:row r="22">
      <x:c r="E22" s="36"/>
      <x:c r="F22" s="36"/>
      <x:c r="G22" s="36"/>
      <x:c r="H22" s="36"/>
      <x:c r="I22" s="36"/>
      <x:c r="J22" s="34"/>
      <x:c r="K22" s="34"/>
    </x:row>
    <x:row r="23">
      <x:c r="E23" s="36"/>
      <x:c r="F23" s="36"/>
      <x:c r="G23" s="36"/>
      <x:c r="H23" s="36"/>
      <x:c r="I23" s="36"/>
      <x:c r="J23" s="34"/>
      <x:c r="K23" s="34"/>
    </x:row>
    <x:row r="24">
      <x:c r="E24" s="36"/>
      <x:c r="F24" s="36"/>
      <x:c r="G24" s="36"/>
      <x:c r="H24" s="36"/>
      <x:c r="I24" s="36"/>
      <x:c r="J24" s="34"/>
      <x:c r="K24" s="34"/>
    </x:row>
    <x:row r="25">
      <x:c r="E25" s="36"/>
      <x:c r="F25" s="36"/>
      <x:c r="G25" s="36"/>
      <x:c r="H25" s="36"/>
      <x:c r="I25" s="36"/>
      <x:c r="J25" s="34"/>
      <x:c r="K25" s="34"/>
    </x:row>
    <x:row r="26">
      <x:c r="E26" s="36"/>
      <x:c r="F26" s="36"/>
      <x:c r="G26" s="36"/>
      <x:c r="H26" s="36"/>
      <x:c r="I26" s="36"/>
      <x:c r="J26" s="34"/>
      <x:c r="K26" s="34"/>
    </x:row>
    <x:row r="27">
      <x:c r="E27" s="36"/>
      <x:c r="F27" s="36"/>
      <x:c r="G27" s="36"/>
      <x:c r="H27" s="36"/>
      <x:c r="I27" s="36"/>
      <x:c r="J27" s="34"/>
      <x:c r="K27" s="34"/>
    </x:row>
    <x:row r="28">
      <x:c r="E28" s="36"/>
      <x:c r="F28" s="36"/>
      <x:c r="G28" s="36"/>
      <x:c r="H28" s="36"/>
      <x:c r="I28" s="36"/>
      <x:c r="J28" s="34"/>
      <x:c r="K28" s="34"/>
    </x:row>
    <x:row r="29">
      <x:c r="E29" s="36"/>
      <x:c r="F29" s="36"/>
      <x:c r="G29" s="36"/>
      <x:c r="H29" s="36"/>
      <x:c r="I29" s="36"/>
      <x:c r="J29" s="34"/>
      <x:c r="K29" s="34"/>
    </x:row>
    <x:row r="30">
      <x:c r="E30" s="36"/>
      <x:c r="F30" s="36"/>
      <x:c r="G30" s="36"/>
      <x:c r="H30" s="36"/>
      <x:c r="I30" s="36"/>
      <x:c r="J30" s="34"/>
      <x:c r="K30" s="34"/>
    </x:row>
    <x:row r="31">
      <x:c r="E31" s="36"/>
      <x:c r="F31" s="36"/>
      <x:c r="G31" s="36"/>
      <x:c r="H31" s="36"/>
      <x:c r="I31" s="36"/>
      <x:c r="J31" s="34"/>
      <x:c r="K31" s="34"/>
    </x:row>
    <x:row r="32">
      <x:c r="E32" s="36"/>
      <x:c r="F32" s="36"/>
      <x:c r="G32" s="36"/>
      <x:c r="H32" s="36"/>
      <x:c r="I32" s="36"/>
      <x:c r="J32" s="34"/>
      <x:c r="K32" s="34"/>
    </x:row>
    <x:row r="33">
      <x:c r="E33" s="36"/>
      <x:c r="F33" s="36"/>
      <x:c r="G33" s="36"/>
      <x:c r="H33" s="36"/>
      <x:c r="I33" s="36"/>
      <x:c r="J33" s="34"/>
      <x:c r="K33" s="34"/>
    </x:row>
    <x:row r="34">
      <x:c r="E34" s="36"/>
      <x:c r="F34" s="36"/>
      <x:c r="G34" s="36"/>
      <x:c r="H34" s="36"/>
      <x:c r="I34" s="36"/>
      <x:c r="J34" s="34"/>
      <x:c r="K34" s="34"/>
    </x:row>
    <x:row r="35">
      <x:c r="E35" s="36"/>
      <x:c r="F35" s="36"/>
      <x:c r="G35" s="36"/>
      <x:c r="H35" s="36"/>
      <x:c r="I35" s="36"/>
      <x:c r="J35" s="34"/>
      <x:c r="K35" s="34"/>
    </x:row>
    <x:row r="36">
      <x:c r="E36" s="36"/>
      <x:c r="F36" s="36"/>
      <x:c r="G36" s="36"/>
      <x:c r="H36" s="36"/>
      <x:c r="I36" s="36"/>
      <x:c r="J36" s="34"/>
      <x:c r="K36" s="34"/>
    </x:row>
    <x:row r="37">
      <x:c r="E37" s="36"/>
      <x:c r="F37" s="36"/>
      <x:c r="G37" s="36"/>
      <x:c r="H37" s="36"/>
      <x:c r="I37" s="36"/>
      <x:c r="J37" s="34"/>
      <x:c r="K37" s="34"/>
    </x:row>
    <x:row r="38">
      <x:c r="E38" s="36"/>
      <x:c r="F38" s="36"/>
      <x:c r="G38" s="36"/>
      <x:c r="H38" s="36"/>
      <x:c r="I38" s="36"/>
      <x:c r="J38" s="34"/>
      <x:c r="K38" s="34"/>
    </x:row>
    <x:row r="39">
      <x:c r="E39" s="36"/>
      <x:c r="F39" s="36"/>
      <x:c r="G39" s="36"/>
      <x:c r="H39" s="36"/>
      <x:c r="I39" s="36"/>
      <x:c r="J39" s="34"/>
      <x:c r="K39" s="34"/>
    </x:row>
    <x:row r="40">
      <x:c r="E40" s="36"/>
      <x:c r="F40" s="36"/>
      <x:c r="G40" s="36"/>
      <x:c r="H40" s="36"/>
      <x:c r="I40" s="36"/>
      <x:c r="J40" s="34"/>
      <x:c r="K40" s="34"/>
    </x:row>
    <x:row r="41">
      <x:c r="E41" s="36"/>
      <x:c r="F41" s="36"/>
      <x:c r="G41" s="36"/>
      <x:c r="H41" s="36"/>
      <x:c r="I41" s="36"/>
      <x:c r="J41" s="34"/>
      <x:c r="K41" s="34"/>
    </x:row>
    <x:row r="42">
      <x:c r="E42" s="36"/>
      <x:c r="F42" s="36"/>
      <x:c r="G42" s="36"/>
      <x:c r="H42" s="36"/>
      <x:c r="I42" s="36"/>
      <x:c r="J42" s="34"/>
      <x:c r="K42" s="34"/>
    </x:row>
    <x:row r="43">
      <x:c r="E43" s="36"/>
      <x:c r="F43" s="36"/>
      <x:c r="G43" s="36"/>
      <x:c r="H43" s="36"/>
      <x:c r="I43" s="36"/>
      <x:c r="J43" s="34"/>
      <x:c r="K43" s="34"/>
    </x:row>
    <x:row r="44">
      <x:c r="E44" s="36"/>
      <x:c r="F44" s="36"/>
      <x:c r="G44" s="36"/>
      <x:c r="H44" s="36"/>
      <x:c r="I44" s="36"/>
      <x:c r="J44" s="34"/>
      <x:c r="K44" s="34"/>
    </x:row>
    <x:row r="45">
      <x:c r="E45" s="36"/>
      <x:c r="F45" s="36"/>
      <x:c r="G45" s="36"/>
      <x:c r="H45" s="36"/>
      <x:c r="I45" s="36"/>
      <x:c r="J45" s="34"/>
      <x:c r="K45" s="34"/>
    </x:row>
    <x:row r="46">
      <x:c r="E46" s="36"/>
      <x:c r="F46" s="36"/>
      <x:c r="G46" s="36"/>
      <x:c r="H46" s="36"/>
      <x:c r="I46" s="36"/>
      <x:c r="J46" s="34"/>
      <x:c r="K46" s="34"/>
    </x:row>
    <x:row r="47">
      <x:c r="E47" s="36"/>
      <x:c r="F47" s="36"/>
      <x:c r="G47" s="36"/>
      <x:c r="H47" s="36"/>
      <x:c r="I47" s="36"/>
      <x:c r="J47" s="34"/>
      <x:c r="K47" s="34"/>
    </x:row>
    <x:row r="48">
      <x:c r="E48" s="36"/>
      <x:c r="F48" s="36"/>
      <x:c r="G48" s="36"/>
      <x:c r="H48" s="36"/>
      <x:c r="I48" s="36"/>
      <x:c r="J48" s="34"/>
      <x:c r="K48" s="34"/>
    </x:row>
    <x:row r="49">
      <x:c r="E49" s="36"/>
      <x:c r="F49" s="36"/>
      <x:c r="G49" s="36"/>
      <x:c r="H49" s="36"/>
      <x:c r="I49" s="36"/>
      <x:c r="J49" s="34"/>
      <x:c r="K49" s="34"/>
    </x:row>
    <x:row r="50">
      <x:c r="E50" s="36"/>
      <x:c r="F50" s="36"/>
      <x:c r="G50" s="36"/>
      <x:c r="H50" s="36"/>
      <x:c r="I50" s="36"/>
      <x:c r="J50" s="34"/>
      <x:c r="K50" s="34"/>
    </x:row>
    <x:row r="51">
      <x:c r="E51" s="36"/>
      <x:c r="F51" s="36"/>
      <x:c r="G51" s="36"/>
      <x:c r="H51" s="36"/>
      <x:c r="I51" s="36"/>
      <x:c r="J51" s="34"/>
      <x:c r="K51" s="34"/>
    </x:row>
    <x:row r="52">
      <x:c r="E52" s="36"/>
      <x:c r="F52" s="36"/>
      <x:c r="G52" s="36"/>
      <x:c r="H52" s="36"/>
      <x:c r="I52" s="36"/>
      <x:c r="J52" s="34"/>
      <x:c r="K52" s="34"/>
    </x:row>
    <x:row r="53">
      <x:c r="E53" s="36"/>
      <x:c r="F53" s="36"/>
      <x:c r="G53" s="36"/>
      <x:c r="H53" s="36"/>
      <x:c r="I53" s="36"/>
      <x:c r="J53" s="34"/>
      <x:c r="K53" s="34"/>
    </x:row>
    <x:row r="54">
      <x:c r="E54" s="36"/>
      <x:c r="F54" s="36"/>
      <x:c r="G54" s="36"/>
      <x:c r="H54" s="36"/>
      <x:c r="I54" s="36"/>
      <x:c r="J54" s="34"/>
      <x:c r="K54" s="34"/>
    </x:row>
    <x:row r="55">
      <x:c r="E55" s="36"/>
      <x:c r="F55" s="36"/>
      <x:c r="G55" s="36"/>
      <x:c r="H55" s="36"/>
      <x:c r="I55" s="36"/>
      <x:c r="J55" s="34"/>
      <x:c r="K55" s="34"/>
    </x:row>
    <x:row r="56">
      <x:c r="E56" s="36"/>
      <x:c r="F56" s="36"/>
      <x:c r="G56" s="36"/>
      <x:c r="H56" s="36"/>
      <x:c r="I56" s="36"/>
      <x:c r="J56" s="34"/>
      <x:c r="K56" s="34"/>
    </x:row>
    <x:row r="57">
      <x:c r="E57" s="36"/>
      <x:c r="F57" s="36"/>
      <x:c r="G57" s="36"/>
      <x:c r="H57" s="36"/>
      <x:c r="I57" s="36"/>
      <x:c r="J57" s="34"/>
      <x:c r="K57" s="34"/>
    </x:row>
    <x:row r="58">
      <x:c r="E58" s="36"/>
      <x:c r="F58" s="36"/>
      <x:c r="G58" s="36"/>
      <x:c r="H58" s="36"/>
      <x:c r="I58" s="36"/>
      <x:c r="J58" s="34"/>
      <x:c r="K58" s="34"/>
    </x:row>
    <x:row r="59">
      <x:c r="E59" s="36"/>
      <x:c r="F59" s="36"/>
      <x:c r="G59" s="36"/>
      <x:c r="H59" s="36"/>
      <x:c r="I59" s="36"/>
      <x:c r="J59" s="34"/>
      <x:c r="K59" s="34"/>
    </x:row>
    <x:row r="60">
      <x:c r="E60" s="36"/>
      <x:c r="F60" s="36"/>
      <x:c r="G60" s="36"/>
      <x:c r="H60" s="36"/>
      <x:c r="I60" s="36"/>
      <x:c r="J60" s="34"/>
      <x:c r="K60" s="34"/>
    </x:row>
    <x:row r="61">
      <x:c r="E61" s="36"/>
      <x:c r="F61" s="36"/>
      <x:c r="G61" s="36"/>
      <x:c r="H61" s="36"/>
      <x:c r="I61" s="36"/>
      <x:c r="J61" s="34"/>
      <x:c r="K61" s="34"/>
    </x:row>
    <x:row r="62">
      <x:c r="E62" s="36"/>
      <x:c r="F62" s="36"/>
      <x:c r="G62" s="36"/>
      <x:c r="H62" s="36"/>
      <x:c r="I62" s="36"/>
      <x:c r="J62" s="34"/>
      <x:c r="K62" s="34"/>
    </x:row>
    <x:row r="63">
      <x:c r="E63" s="36"/>
      <x:c r="F63" s="36"/>
      <x:c r="G63" s="36"/>
      <x:c r="H63" s="36"/>
      <x:c r="I63" s="36"/>
      <x:c r="J63" s="34"/>
      <x:c r="K63" s="34"/>
    </x:row>
    <x:row r="64">
      <x:c r="E64" s="36"/>
      <x:c r="F64" s="36"/>
      <x:c r="G64" s="36"/>
      <x:c r="H64" s="36"/>
      <x:c r="I64" s="36"/>
      <x:c r="J64" s="34"/>
      <x:c r="K64" s="34"/>
    </x:row>
    <x:row r="65">
      <x:c r="E65" s="36"/>
      <x:c r="F65" s="36"/>
      <x:c r="G65" s="36"/>
      <x:c r="H65" s="36"/>
      <x:c r="I65" s="36"/>
      <x:c r="J65" s="34"/>
      <x:c r="K65" s="34"/>
    </x:row>
    <x:row r="66">
      <x:c r="E66" s="36"/>
      <x:c r="F66" s="36"/>
      <x:c r="G66" s="36"/>
      <x:c r="H66" s="36"/>
      <x:c r="I66" s="36"/>
      <x:c r="J66" s="34"/>
      <x:c r="K66" s="34"/>
    </x:row>
    <x:row r="67">
      <x:c r="E67" s="36"/>
      <x:c r="F67" s="36"/>
      <x:c r="G67" s="36"/>
      <x:c r="H67" s="36"/>
      <x:c r="I67" s="36"/>
      <x:c r="J67" s="34"/>
      <x:c r="K67" s="34"/>
    </x:row>
    <x:row r="68">
      <x:c r="E68" s="36"/>
      <x:c r="F68" s="36"/>
      <x:c r="G68" s="36"/>
      <x:c r="H68" s="36"/>
      <x:c r="I68" s="36"/>
      <x:c r="J68" s="34"/>
      <x:c r="K68" s="34"/>
    </x:row>
    <x:row r="69">
      <x:c r="E69" s="36"/>
      <x:c r="F69" s="36"/>
      <x:c r="G69" s="36"/>
      <x:c r="H69" s="36"/>
      <x:c r="I69" s="36"/>
      <x:c r="J69" s="34"/>
      <x:c r="K69" s="34"/>
    </x:row>
    <x:row r="70">
      <x:c r="E70" s="36"/>
      <x:c r="F70" s="36"/>
      <x:c r="G70" s="36"/>
      <x:c r="H70" s="36"/>
      <x:c r="I70" s="36"/>
      <x:c r="J70" s="34"/>
      <x:c r="K70" s="34"/>
    </x:row>
    <x:row r="71">
      <x:c r="E71" s="36"/>
      <x:c r="F71" s="36"/>
      <x:c r="G71" s="36"/>
      <x:c r="H71" s="36"/>
      <x:c r="I71" s="36"/>
      <x:c r="J71" s="34"/>
      <x:c r="K71" s="34"/>
    </x:row>
    <x:row r="72">
      <x:c r="E72" s="36"/>
      <x:c r="F72" s="36"/>
      <x:c r="G72" s="36"/>
      <x:c r="H72" s="36"/>
      <x:c r="I72" s="36"/>
      <x:c r="J72" s="34"/>
      <x:c r="K72" s="34"/>
    </x:row>
    <x:row r="73">
      <x:c r="E73" s="36"/>
      <x:c r="F73" s="36"/>
      <x:c r="G73" s="36"/>
      <x:c r="H73" s="36"/>
      <x:c r="I73" s="36"/>
      <x:c r="J73" s="34"/>
      <x:c r="K73" s="34"/>
    </x:row>
    <x:row r="74">
      <x:c r="E74" s="36"/>
      <x:c r="F74" s="36"/>
      <x:c r="G74" s="36"/>
      <x:c r="H74" s="36"/>
      <x:c r="I74" s="36"/>
      <x:c r="J74" s="34"/>
      <x:c r="K74" s="34"/>
    </x:row>
    <x:row r="75">
      <x:c r="E75" s="36"/>
      <x:c r="F75" s="36"/>
      <x:c r="G75" s="36"/>
      <x:c r="H75" s="36"/>
      <x:c r="I75" s="36"/>
      <x:c r="J75" s="34"/>
      <x:c r="K75" s="34"/>
    </x:row>
    <x:row r="76">
      <x:c r="E76" s="36"/>
      <x:c r="F76" s="36"/>
      <x:c r="G76" s="36"/>
      <x:c r="H76" s="36"/>
      <x:c r="I76" s="36"/>
      <x:c r="J76" s="34"/>
      <x:c r="K76" s="34"/>
    </x:row>
    <x:row r="77">
      <x:c r="E77" s="36"/>
      <x:c r="F77" s="36"/>
      <x:c r="G77" s="36"/>
      <x:c r="H77" s="36"/>
      <x:c r="I77" s="36"/>
      <x:c r="J77" s="34"/>
      <x:c r="K77" s="34"/>
    </x:row>
    <x:row r="78">
      <x:c r="E78" s="36"/>
      <x:c r="F78" s="36"/>
      <x:c r="G78" s="36"/>
      <x:c r="H78" s="36"/>
      <x:c r="I78" s="36"/>
      <x:c r="J78" s="34"/>
      <x:c r="K78" s="34"/>
    </x:row>
    <x:row r="79">
      <x:c r="E79" s="36"/>
      <x:c r="F79" s="36"/>
      <x:c r="G79" s="36"/>
      <x:c r="H79" s="36"/>
      <x:c r="I79" s="36"/>
      <x:c r="J79" s="34"/>
      <x:c r="K79" s="34"/>
    </x:row>
    <x:row r="80">
      <x:c r="E80" s="36"/>
      <x:c r="F80" s="36"/>
      <x:c r="G80" s="36"/>
      <x:c r="H80" s="36"/>
      <x:c r="I80" s="36"/>
      <x:c r="J80" s="34"/>
      <x:c r="K80" s="34"/>
    </x:row>
    <x:row r="81">
      <x:c r="E81" s="36"/>
      <x:c r="F81" s="36"/>
      <x:c r="G81" s="36"/>
      <x:c r="H81" s="36"/>
      <x:c r="I81" s="36"/>
      <x:c r="J81" s="34"/>
      <x:c r="K81" s="34"/>
    </x:row>
    <x:row r="82">
      <x:c r="E82" s="36"/>
      <x:c r="F82" s="36"/>
      <x:c r="G82" s="36"/>
      <x:c r="H82" s="36"/>
      <x:c r="I82" s="36"/>
      <x:c r="J82" s="34"/>
      <x:c r="K82" s="34"/>
    </x:row>
    <x:row r="83">
      <x:c r="E83" s="36"/>
      <x:c r="F83" s="36"/>
      <x:c r="G83" s="36"/>
      <x:c r="H83" s="36"/>
      <x:c r="I83" s="36"/>
      <x:c r="J83" s="34"/>
      <x:c r="K83" s="34"/>
    </x:row>
    <x:row r="84">
      <x:c r="E84" s="36"/>
      <x:c r="F84" s="36"/>
      <x:c r="G84" s="36"/>
      <x:c r="H84" s="36"/>
      <x:c r="I84" s="36"/>
      <x:c r="J84" s="34"/>
      <x:c r="K84" s="34"/>
    </x:row>
    <x:row r="85">
      <x:c r="E85" s="36"/>
      <x:c r="F85" s="36"/>
      <x:c r="G85" s="36"/>
      <x:c r="H85" s="36"/>
      <x:c r="I85" s="36"/>
      <x:c r="J85" s="34"/>
      <x:c r="K85" s="34"/>
    </x:row>
    <x:row r="86">
      <x:c r="E86" s="36"/>
      <x:c r="F86" s="36"/>
      <x:c r="G86" s="36"/>
      <x:c r="H86" s="36"/>
      <x:c r="I86" s="36"/>
      <x:c r="J86" s="34"/>
      <x:c r="K86" s="34"/>
    </x:row>
    <x:row r="87">
      <x:c r="E87" s="36"/>
      <x:c r="F87" s="36"/>
      <x:c r="G87" s="36"/>
      <x:c r="H87" s="36"/>
      <x:c r="I87" s="36"/>
      <x:c r="J87" s="34"/>
      <x:c r="K87" s="34"/>
    </x:row>
    <x:row r="88">
      <x:c r="E88" s="36"/>
      <x:c r="F88" s="36"/>
      <x:c r="G88" s="36"/>
      <x:c r="H88" s="36"/>
      <x:c r="I88" s="36"/>
      <x:c r="J88" s="34"/>
      <x:c r="K88" s="34"/>
    </x:row>
    <x:row r="89">
      <x:c r="E89" s="36"/>
      <x:c r="F89" s="36"/>
      <x:c r="G89" s="36"/>
      <x:c r="H89" s="36"/>
      <x:c r="I89" s="36"/>
      <x:c r="J89" s="34"/>
      <x:c r="K89" s="34"/>
    </x:row>
    <x:row r="90">
      <x:c r="E90" s="36"/>
      <x:c r="F90" s="36"/>
      <x:c r="G90" s="36"/>
      <x:c r="H90" s="36"/>
      <x:c r="I90" s="36"/>
      <x:c r="J90" s="34"/>
      <x:c r="K90" s="34"/>
    </x:row>
    <x:row r="91">
      <x:c r="E91" s="36"/>
      <x:c r="F91" s="36"/>
      <x:c r="G91" s="36"/>
      <x:c r="H91" s="36"/>
      <x:c r="I91" s="36"/>
      <x:c r="J91" s="34"/>
      <x:c r="K91" s="34"/>
    </x:row>
    <x:row r="92">
      <x:c r="E92" s="36"/>
      <x:c r="F92" s="36"/>
      <x:c r="G92" s="36"/>
      <x:c r="H92" s="36"/>
      <x:c r="I92" s="36"/>
      <x:c r="J92" s="34"/>
      <x:c r="K92" s="34"/>
    </x:row>
    <x:row r="93">
      <x:c r="E93" s="36"/>
      <x:c r="F93" s="36"/>
      <x:c r="G93" s="36"/>
      <x:c r="H93" s="36"/>
      <x:c r="I93" s="36"/>
      <x:c r="J93" s="34"/>
      <x:c r="K93" s="34"/>
    </x:row>
    <x:row r="94">
      <x:c r="E94" s="36"/>
      <x:c r="F94" s="36"/>
      <x:c r="G94" s="36"/>
      <x:c r="H94" s="36"/>
      <x:c r="I94" s="36"/>
      <x:c r="J94" s="34"/>
      <x:c r="K94" s="34"/>
    </x:row>
    <x:row r="95">
      <x:c r="E95" s="36"/>
      <x:c r="F95" s="36"/>
      <x:c r="G95" s="36"/>
      <x:c r="H95" s="36"/>
      <x:c r="I95" s="36"/>
      <x:c r="J95" s="34"/>
      <x:c r="K95" s="34"/>
    </x:row>
    <x:row r="96">
      <x:c r="E96" s="36"/>
      <x:c r="F96" s="36"/>
      <x:c r="G96" s="36"/>
      <x:c r="H96" s="36"/>
      <x:c r="I96" s="36"/>
      <x:c r="J96" s="34"/>
      <x:c r="K96" s="34"/>
    </x:row>
    <x:row r="97">
      <x:c r="E97" s="36"/>
      <x:c r="F97" s="36"/>
      <x:c r="G97" s="36"/>
      <x:c r="H97" s="36"/>
      <x:c r="I97" s="36"/>
      <x:c r="J97" s="34"/>
      <x:c r="K97" s="34"/>
    </x:row>
    <x:row r="98">
      <x:c r="E98" s="36"/>
      <x:c r="F98" s="36"/>
      <x:c r="G98" s="36"/>
      <x:c r="H98" s="36"/>
      <x:c r="I98" s="36"/>
      <x:c r="J98" s="34"/>
      <x:c r="K98" s="34"/>
    </x:row>
    <x:row r="99">
      <x:c r="E99" s="36"/>
      <x:c r="F99" s="36"/>
      <x:c r="G99" s="36"/>
      <x:c r="H99" s="36"/>
      <x:c r="I99" s="36"/>
      <x:c r="J99" s="34"/>
      <x:c r="K99" s="34"/>
    </x:row>
    <x:row r="100">
      <x:c r="E100" s="36"/>
      <x:c r="F100" s="36"/>
      <x:c r="G100" s="36"/>
      <x:c r="H100" s="36"/>
      <x:c r="I100" s="36"/>
      <x:c r="J100" s="34"/>
      <x:c r="K100" s="34"/>
    </x:row>
  </x:sheetData>
  <x:pageMargins left="0.7" right="0.7" top="0.75" bottom="0.75" header="0.3" footer="0.3"/>
  <x:tableParts count="1">
    <x:tablePart xmlns:r="http://schemas.openxmlformats.org/officeDocument/2006/relationships" r:id="R6718d28d607a4e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24" hidden="0" customWidth="1"/>
    <x:col min="12" max="12" width="28" hidden="0" customWidth="1"/>
  </x:cols>
  <x:sheetData>
    <x:row r="1">
      <x:c r="A1" s="14" t="str">
        <x:v>MAT_ID</x:v>
      </x:c>
      <x:c r="B1" s="14" t="str">
        <x:v>PROJECT_ID</x:v>
      </x:c>
      <x:c r="C1" s="14" t="str">
        <x:v>Tên vật tư</x:v>
      </x:c>
      <x:c r="D1" s="14" t="str">
        <x:v>ĐVT</x:v>
      </x:c>
      <x:c r="E1" s="14" t="str">
        <x:v>Khối lượng KH</x:v>
      </x:c>
      <x:c r="F1" s="14" t="str">
        <x:v>Đã mua</x:v>
      </x:c>
      <x:c r="G1" s="14" t="str">
        <x:v>Đã sử dụng</x:v>
      </x:c>
      <x:c r="H1" s="14" t="str">
        <x:v>Tồn</x:v>
      </x:c>
      <x:c r="I1" s="14" t="str">
        <x:v>Đơn giá</x:v>
      </x:c>
      <x:c r="J1" s="14" t="str">
        <x:v>Giá trị đã mua</x:v>
      </x:c>
      <x:c r="K1" s="14" t="str">
        <x:v>Nhà cung cấp</x:v>
      </x:c>
      <x:c r="L1" s="14" t="str">
        <x:v>Ghi chú</x:v>
      </x:c>
    </x:row>
    <x:row r="2">
      <x:c r="A2" t="str">
        <x:v>M-001</x:v>
      </x:c>
      <x:c r="B2" t="str">
        <x:v>LXS-REPAIR-2026-001</x:v>
      </x:c>
      <x:c r="C2" t="str">
        <x:v>Sơn nội thất</x:v>
      </x:c>
      <x:c r="D2" t="str">
        <x:v>lít</x:v>
      </x:c>
      <x:c r="E2" t="n">
        <x:v>500</x:v>
      </x:c>
      <x:c r="F2" t="n">
        <x:v>540</x:v>
      </x:c>
      <x:c r="G2" t="n">
        <x:v>120</x:v>
      </x:c>
      <x:c r="H2" t="n">
        <x:f>F2-G2</x:f>
        <x:v>420</x:v>
      </x:c>
      <x:c r="I2" s="36" t="n">
        <x:v>145000</x:v>
      </x:c>
      <x:c r="J2" s="36" t="n">
        <x:f>F2*I2</x:f>
        <x:v>78300000</x:v>
      </x:c>
      <x:c r="K2" t="str">
        <x:v>NCC A</x:v>
      </x:c>
      <x:c r="L2" t="str">
        <x:v>Mua vượt KH 40 lít</x:v>
      </x:c>
    </x:row>
    <x:row r="3">
      <x:c r="A3" t="str">
        <x:v>M-002</x:v>
      </x:c>
      <x:c r="B3" t="str">
        <x:v>LXS-REPAIR-2026-001</x:v>
      </x:c>
      <x:c r="C3" t="str">
        <x:v>Gạch lát nền</x:v>
      </x:c>
      <x:c r="D3" t="str">
        <x:v>m2</x:v>
      </x:c>
      <x:c r="E3" t="n">
        <x:v>180</x:v>
      </x:c>
      <x:c r="F3" t="n">
        <x:v>194</x:v>
      </x:c>
      <x:c r="G3" t="n">
        <x:v>40</x:v>
      </x:c>
      <x:c r="H3" t="n">
        <x:f>F3-G3</x:f>
        <x:v>154</x:v>
      </x:c>
      <x:c r="I3" s="36" t="n">
        <x:v>230000</x:v>
      </x:c>
      <x:c r="J3" s="36" t="n">
        <x:f>F3*I3</x:f>
        <x:v>44620000</x:v>
      </x:c>
      <x:c r="K3" t="str">
        <x:v>NCC B</x:v>
      </x:c>
      <x:c r="L3" t="str"/>
    </x:row>
    <x:row r="4">
      <x:c r="A4" t="str">
        <x:v>M-003</x:v>
      </x:c>
      <x:c r="B4" t="str">
        <x:v>LXS-REPAIR-2026-001</x:v>
      </x:c>
      <x:c r="C4" t="str">
        <x:v>Ống cấp nước</x:v>
      </x:c>
      <x:c r="D4" t="str">
        <x:v>m</x:v>
      </x:c>
      <x:c r="E4" t="n">
        <x:v>120</x:v>
      </x:c>
      <x:c r="F4" t="n">
        <x:v>130</x:v>
      </x:c>
      <x:c r="G4" t="n">
        <x:v>70</x:v>
      </x:c>
      <x:c r="H4" t="n">
        <x:f>F4-G4</x:f>
        <x:v>60</x:v>
      </x:c>
      <x:c r="I4" s="36" t="n">
        <x:v>65000</x:v>
      </x:c>
      <x:c r="J4" s="36" t="n">
        <x:f>F4*I4</x:f>
        <x:v>8450000</x:v>
      </x:c>
      <x:c r="K4" t="str">
        <x:v>NCC C</x:v>
      </x:c>
      <x:c r="L4" t="str"/>
    </x:row>
  </x:sheetData>
  <x:pageMargins left="0.7" right="0.7" top="0.75" bottom="0.75" header="0.3" footer="0.3"/>
  <x:tableParts count="1">
    <x:tablePart xmlns:r="http://schemas.openxmlformats.org/officeDocument/2006/relationships" r:id="R44aff5bdc75847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0" hidden="0" customWidth="1"/>
    <x:col min="5" max="5" width="30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28" hidden="0" customWidth="1"/>
  </x:cols>
  <x:sheetData>
    <x:row r="1">
      <x:c r="A1" s="14" t="str">
        <x:v>LAB_ID</x:v>
      </x:c>
      <x:c r="B1" s="14" t="str">
        <x:v>PROJECT_ID</x:v>
      </x:c>
      <x:c r="C1" s="14" t="str">
        <x:v>Ngày</x:v>
      </x:c>
      <x:c r="D1" s="14" t="str">
        <x:v>Tổ đội</x:v>
      </x:c>
      <x:c r="E1" s="14" t="str">
        <x:v>Công việc</x:v>
      </x:c>
      <x:c r="F1" s="14" t="str">
        <x:v>Số người</x:v>
      </x:c>
      <x:c r="G1" s="14" t="str">
        <x:v>Số công</x:v>
      </x:c>
      <x:c r="H1" s="14" t="str">
        <x:v>Đơn giá/công</x:v>
      </x:c>
      <x:c r="I1" s="14" t="str">
        <x:v>Thành tiền</x:v>
      </x:c>
      <x:c r="J1" s="14" t="str">
        <x:v>Ghi chú</x:v>
      </x:c>
    </x:row>
    <x:row r="2">
      <x:c r="A2" t="str">
        <x:v>L-001</x:v>
      </x:c>
      <x:c r="B2" t="str">
        <x:v>LXS-REPAIR-2026-001</x:v>
      </x:c>
      <x:c r="C2" s="34" t="n">
        <x:v>46279</x:v>
      </x:c>
      <x:c r="D2" t="str">
        <x:v>Tổ A</x:v>
      </x:c>
      <x:c r="E2" t="str">
        <x:v>Chống thấm mái</x:v>
      </x:c>
      <x:c r="F2" t="n">
        <x:v>5</x:v>
      </x:c>
      <x:c r="G2" t="n">
        <x:v>5</x:v>
      </x:c>
      <x:c r="H2" s="36" t="n">
        <x:v>450000</x:v>
      </x:c>
      <x:c r="I2" s="36" t="n">
        <x:f>G2*H2</x:f>
        <x:v>2250000</x:v>
      </x:c>
      <x:c r="J2" t="str"/>
    </x:row>
    <x:row r="3">
      <x:c r="A3" t="str">
        <x:v>L-002</x:v>
      </x:c>
      <x:c r="B3" t="str">
        <x:v>LXS-REPAIR-2026-001</x:v>
      </x:c>
      <x:c r="C3" s="34" t="n">
        <x:v>46280</x:v>
      </x:c>
      <x:c r="D3" t="str">
        <x:v>Tổ điện</x:v>
      </x:c>
      <x:c r="E3" t="str">
        <x:v>Thay dây điện</x:v>
      </x:c>
      <x:c r="F3" t="n">
        <x:v>3</x:v>
      </x:c>
      <x:c r="G3" t="n">
        <x:v>3</x:v>
      </x:c>
      <x:c r="H3" s="36" t="n">
        <x:v>500000</x:v>
      </x:c>
      <x:c r="I3" s="36" t="n">
        <x:f>G3*H3</x:f>
        <x:v>1500000</x:v>
      </x:c>
      <x:c r="J3" t="str"/>
    </x:row>
    <x:row r="4">
      <x:c r="A4" t="str">
        <x:v>L-003</x:v>
      </x:c>
      <x:c r="B4" t="str">
        <x:v>LXS-REPAIR-2026-001</x:v>
      </x:c>
      <x:c r="C4" s="34" t="n">
        <x:v>46281</x:v>
      </x:c>
      <x:c r="D4" t="str">
        <x:v>Tổ A</x:v>
      </x:c>
      <x:c r="E4" t="str">
        <x:v>Chống thấm mái</x:v>
      </x:c>
      <x:c r="F4" t="n">
        <x:v>5</x:v>
      </x:c>
      <x:c r="G4" t="n">
        <x:v>5</x:v>
      </x:c>
      <x:c r="H4" s="36" t="n">
        <x:v>450000</x:v>
      </x:c>
      <x:c r="I4" s="36" t="n">
        <x:f>G4*H4</x:f>
        <x:v>2250000</x:v>
      </x:c>
      <x:c r="J4" t="str">
        <x:v>Mưa chiều</x:v>
      </x:c>
    </x:row>
  </x:sheetData>
  <x:pageMargins left="0.7" right="0.7" top="0.75" bottom="0.75" header="0.3" footer="0.3"/>
  <x:tableParts count="1">
    <x:tablePart xmlns:r="http://schemas.openxmlformats.org/officeDocument/2006/relationships" r:id="R8a97a6ae08bb4e3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30" hidden="0" customWidth="1"/>
    <x:col min="5" max="5" width="20" hidden="0" customWidth="1"/>
    <x:col min="6" max="6" width="12" hidden="0" customWidth="1"/>
    <x:col min="7" max="7" width="20" hidden="0" customWidth="1"/>
    <x:col min="8" max="8" width="18" hidden="0" customWidth="1"/>
    <x:col min="9" max="9" width="32" hidden="0" customWidth="1"/>
    <x:col min="10" max="10" width="18" hidden="0" customWidth="1"/>
    <x:col min="11" max="11" width="30" hidden="0" customWidth="1"/>
  </x:cols>
  <x:sheetData>
    <x:row r="1">
      <x:c r="A1" s="14" t="str">
        <x:v>LOG_ID</x:v>
      </x:c>
      <x:c r="B1" s="14" t="str">
        <x:v>PROJECT_ID</x:v>
      </x:c>
      <x:c r="C1" s="14" t="str">
        <x:v>Ngày</x:v>
      </x:c>
      <x:c r="D1" s="14" t="str">
        <x:v>Công việc</x:v>
      </x:c>
      <x:c r="E1" s="14" t="str">
        <x:v>Tổ đội</x:v>
      </x:c>
      <x:c r="F1" s="14" t="str">
        <x:v>Nhân công</x:v>
      </x:c>
      <x:c r="G1" s="14" t="str">
        <x:v>Khối lượng thực hiện</x:v>
      </x:c>
      <x:c r="H1" s="14" t="str">
        <x:v>Thời tiết</x:v>
      </x:c>
      <x:c r="I1" s="14" t="str">
        <x:v>Vấn đề/Sự cố</x:v>
      </x:c>
      <x:c r="J1" s="14" t="str">
        <x:v>Trạng thái</x:v>
      </x:c>
      <x:c r="K1" s="14" t="str">
        <x:v>Ghi chú</x:v>
      </x:c>
    </x:row>
    <x:row r="2">
      <x:c r="A2" t="str">
        <x:v>LOG-001</x:v>
      </x:c>
      <x:c r="B2" t="str">
        <x:v>LXS-REPAIR-2026-001</x:v>
      </x:c>
      <x:c r="C2" s="34" t="n">
        <x:v>46279</x:v>
      </x:c>
      <x:c r="D2" t="str">
        <x:v>Chống thấm mái</x:v>
      </x:c>
      <x:c r="E2" t="str">
        <x:v>Tổ A</x:v>
      </x:c>
      <x:c r="F2" t="n">
        <x:v>5</x:v>
      </x:c>
      <x:c r="G2" t="str">
        <x:v>35 m2</x:v>
      </x:c>
      <x:c r="H2" t="str">
        <x:v>Nắng</x:v>
      </x:c>
      <x:c r="I2" t="str">
        <x:v>Không</x:v>
      </x:c>
      <x:c r="J2" t="str">
        <x:v>Đang thực hiện</x:v>
      </x:c>
      <x:c r="K2" t="str"/>
    </x:row>
    <x:row r="3">
      <x:c r="A3" t="str">
        <x:v>LOG-002</x:v>
      </x:c>
      <x:c r="B3" t="str">
        <x:v>LXS-REPAIR-2026-001</x:v>
      </x:c>
      <x:c r="C3" s="34" t="n">
        <x:v>46280</x:v>
      </x:c>
      <x:c r="D3" t="str">
        <x:v>Thay dây điện</x:v>
      </x:c>
      <x:c r="E3" t="str">
        <x:v>Tổ điện</x:v>
      </x:c>
      <x:c r="F3" t="n">
        <x:v>3</x:v>
      </x:c>
      <x:c r="G3" t="str">
        <x:v>Khu bếp + phòng khách</x:v>
      </x:c>
      <x:c r="H3" t="str">
        <x:v>Nắng</x:v>
      </x:c>
      <x:c r="I3" t="str">
        <x:v>Thiếu ống gen</x:v>
      </x:c>
      <x:c r="J3" t="str">
        <x:v>Đang thực hiện</x:v>
      </x:c>
      <x:c r="K3" t="str"/>
    </x:row>
    <x:row r="4">
      <x:c r="A4" t="str">
        <x:v>LOG-003</x:v>
      </x:c>
      <x:c r="B4" t="str">
        <x:v>LXS-REPAIR-2026-001</x:v>
      </x:c>
      <x:c r="C4" s="34" t="n">
        <x:v>46281</x:v>
      </x:c>
      <x:c r="D4" t="str">
        <x:v>Chống thấm mái</x:v>
      </x:c>
      <x:c r="E4" t="str">
        <x:v>Tổ A</x:v>
      </x:c>
      <x:c r="F4" t="n">
        <x:v>5</x:v>
      </x:c>
      <x:c r="G4" t="str">
        <x:v>20 m2</x:v>
      </x:c>
      <x:c r="H4" t="str">
        <x:v>Mưa từ 15h</x:v>
      </x:c>
      <x:c r="I4" t="str">
        <x:v>Dừng thi công sớm</x:v>
      </x:c>
      <x:c r="J4" t="str">
        <x:v>Đang thực hiện</x:v>
      </x:c>
      <x:c r="K4" t="str">
        <x:v>Ảnh hiện trường kèm theo</x:v>
      </x:c>
    </x:row>
  </x:sheetData>
  <x:pageMargins left="0.7" right="0.7" top="0.75" bottom="0.75" header="0.3" footer="0.3"/>
  <x:tableParts count="1">
    <x:tablePart xmlns:r="http://schemas.openxmlformats.org/officeDocument/2006/relationships" r:id="R6803bc8146bf4ab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20" hidden="0" customWidth="1"/>
    <x:col min="6" max="6" width="20" hidden="0" customWidth="1"/>
    <x:col min="7" max="7" width="16" hidden="0" customWidth="1"/>
    <x:col min="8" max="8" width="32" hidden="0" customWidth="1"/>
    <x:col min="9" max="9" width="36" hidden="0" customWidth="1"/>
    <x:col min="10" max="10" width="20" hidden="0" customWidth="1"/>
  </x:cols>
  <x:sheetData>
    <x:row r="1">
      <x:c r="A1" s="14" t="str">
        <x:v>PHOTO_ID</x:v>
      </x:c>
      <x:c r="B1" s="14" t="str">
        <x:v>PROJECT_ID</x:v>
      </x:c>
      <x:c r="C1" s="14" t="str">
        <x:v>WORK_ID</x:v>
      </x:c>
      <x:c r="D1" s="14" t="str">
        <x:v>Ngày</x:v>
      </x:c>
      <x:c r="E1" s="14" t="str">
        <x:v>Khu vực</x:v>
      </x:c>
      <x:c r="F1" s="14" t="str">
        <x:v>Phân loại</x:v>
      </x:c>
      <x:c r="G1" s="14" t="str">
        <x:v>Trước/Trong/Sau</x:v>
      </x:c>
      <x:c r="H1" s="14" t="str">
        <x:v>Mô tả</x:v>
      </x:c>
      <x:c r="I1" s="14" t="str">
        <x:v>Tên file/URL</x:v>
      </x:c>
      <x:c r="J1" s="14" t="str">
        <x:v>Người tải</x:v>
      </x:c>
    </x:row>
    <x:row r="2">
      <x:c r="A2" t="str">
        <x:v>P-001</x:v>
      </x:c>
      <x:c r="B2" t="str">
        <x:v>LXS-REPAIR-2026-001</x:v>
      </x:c>
      <x:c r="C2" t="str">
        <x:v>W-003</x:v>
      </x:c>
      <x:c r="D2" s="34" t="n">
        <x:v>46278</x:v>
      </x:c>
      <x:c r="E2" t="str">
        <x:v>Mái</x:v>
      </x:c>
      <x:c r="F2" t="str">
        <x:v>Chống thấm</x:v>
      </x:c>
      <x:c r="G2" t="str">
        <x:v>Trước</x:v>
      </x:c>
      <x:c r="H2" t="str">
        <x:v>Hiện trạng mái trước chống thấm</x:v>
      </x:c>
      <x:c r="I2" t="str">
        <x:v>photos/sample_roof_before.jpg</x:v>
      </x:c>
      <x:c r="J2" t="str">
        <x:v>Quản lý</x:v>
      </x:c>
    </x:row>
    <x:row r="3">
      <x:c r="A3" t="str">
        <x:v>P-002</x:v>
      </x:c>
      <x:c r="B3" t="str">
        <x:v>LXS-REPAIR-2026-001</x:v>
      </x:c>
      <x:c r="C3" t="str">
        <x:v>W-003</x:v>
      </x:c>
      <x:c r="D3" s="34" t="n">
        <x:v>46281</x:v>
      </x:c>
      <x:c r="E3" t="str">
        <x:v>Mái</x:v>
      </x:c>
      <x:c r="F3" t="str">
        <x:v>Chống thấm</x:v>
      </x:c>
      <x:c r="G3" t="str">
        <x:v>Trong</x:v>
      </x:c>
      <x:c r="H3" t="str">
        <x:v>Thi công lớp chống thấm</x:v>
      </x:c>
      <x:c r="I3" t="str">
        <x:v>photos/sample_roof_during.jpg</x:v>
      </x:c>
      <x:c r="J3" t="str">
        <x:v>Quản lý</x:v>
      </x:c>
    </x:row>
  </x:sheetData>
  <x:pageMargins left="0.7" right="0.7" top="0.75" bottom="0.75" header="0.3" footer="0.3"/>
  <x:tableParts count="1">
    <x:tablePart xmlns:r="http://schemas.openxmlformats.org/officeDocument/2006/relationships" r:id="Rd91f9bdec19247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32" hidden="0" customWidth="1"/>
    <x:col min="7" max="7" width="32" hidden="0" customWidth="1"/>
    <x:col min="8" max="8" width="16" hidden="0" customWidth="1"/>
    <x:col min="9" max="9" width="18" hidden="0" customWidth="1"/>
    <x:col min="10" max="10" width="20" hidden="0" customWidth="1"/>
    <x:col min="11" max="11" width="16" hidden="0" customWidth="1"/>
    <x:col min="12" max="12" width="20" hidden="0" customWidth="1"/>
    <x:col min="13" max="13" width="28" hidden="0" customWidth="1"/>
  </x:cols>
  <x:sheetData>
    <x:row r="1">
      <x:c r="A1" s="14" t="str">
        <x:v>CHANGE_ID</x:v>
      </x:c>
      <x:c r="B1" s="14" t="str">
        <x:v>PROJECT_ID</x:v>
      </x:c>
      <x:c r="C1" s="14" t="str">
        <x:v>WORK_ID</x:v>
      </x:c>
      <x:c r="D1" s="14" t="str">
        <x:v>Ngày phát hiện</x:v>
      </x:c>
      <x:c r="E1" s="14" t="str">
        <x:v>Loại phát sinh</x:v>
      </x:c>
      <x:c r="F1" s="14" t="str">
        <x:v>Nội dung</x:v>
      </x:c>
      <x:c r="G1" s="14" t="str">
        <x:v>Nguyên nhân</x:v>
      </x:c>
      <x:c r="H1" s="14" t="str">
        <x:v>Giá trị đề xuất</x:v>
      </x:c>
      <x:c r="I1" s="14" t="str">
        <x:v>Ảnh hưởng tiến độ (ngày)</x:v>
      </x:c>
      <x:c r="J1" s="14" t="str">
        <x:v>Trạng thái phê duyệt</x:v>
      </x:c>
      <x:c r="K1" s="14" t="str">
        <x:v>Giá trị được duyệt</x:v>
      </x:c>
      <x:c r="L1" s="14" t="str">
        <x:v>Người duyệt</x:v>
      </x:c>
      <x:c r="M1" s="14" t="str">
        <x:v>Ghi chú</x:v>
      </x:c>
    </x:row>
    <x:row r="2">
      <x:c r="A2" t="str">
        <x:v>CHG-001</x:v>
      </x:c>
      <x:c r="B2" t="str">
        <x:v>LXS-REPAIR-2026-001</x:v>
      </x:c>
      <x:c r="C2" t="str">
        <x:v>W-003</x:v>
      </x:c>
      <x:c r="D2" s="34" t="n">
        <x:v>46280</x:v>
      </x:c>
      <x:c r="E2" t="str">
        <x:v>Tăng khối lượng</x:v>
      </x:c>
      <x:c r="F2" t="str">
        <x:v>Bổ sung xử lý chân tường mái</x:v>
      </x:c>
      <x:c r="G2" t="str">
        <x:v>Hiện trạng hư hỏng phát hiện sau tháo dỡ</x:v>
      </x:c>
      <x:c r="H2" s="36" t="n">
        <x:v>15000000</x:v>
      </x:c>
      <x:c r="I2" t="n">
        <x:v>2</x:v>
      </x:c>
      <x:c r="J2" t="str">
        <x:v>Đã duyệt</x:v>
      </x:c>
      <x:c r="K2" s="36" t="n">
        <x:v>15000000</x:v>
      </x:c>
      <x:c r="L2" t="str">
        <x:v>Chủ đầu tư</x:v>
      </x:c>
      <x:c r="M2" t="str"/>
    </x:row>
    <x:row r="3">
      <x:c r="A3" t="str">
        <x:v>CHG-002</x:v>
      </x:c>
      <x:c r="B3" t="str">
        <x:v>LXS-REPAIR-2026-001</x:v>
      </x:c>
      <x:c r="C3" t="str">
        <x:v>W-004</x:v>
      </x:c>
      <x:c r="D3" s="34" t="n">
        <x:v>46281</x:v>
      </x:c>
      <x:c r="E3" t="str">
        <x:v>Bổ sung công việc</x:v>
      </x:c>
      <x:c r="F3" t="str">
        <x:v>Bổ sung ống gen khu bếp</x:v>
      </x:c>
      <x:c r="G3" t="str">
        <x:v>Hệ thống cũ không bảo đảm</x:v>
      </x:c>
      <x:c r="H3" s="36" t="n">
        <x:v>6500000</x:v>
      </x:c>
      <x:c r="I3" t="n">
        <x:v>1</x:v>
      </x:c>
      <x:c r="J3" t="str">
        <x:v>Chờ duyệt</x:v>
      </x:c>
      <x:c r="K3" s="36" t="n">
        <x:v>0</x:v>
      </x:c>
      <x:c r="L3" t="str"/>
      <x:c r="M3" t="str"/>
    </x:row>
  </x:sheetData>
  <x:pageMargins left="0.7" right="0.7" top="0.75" bottom="0.75" header="0.3" footer="0.3"/>
  <x:tableParts count="1">
    <x:tablePart xmlns:r="http://schemas.openxmlformats.org/officeDocument/2006/relationships" r:id="Rc7c7f96ff38f4d9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20" hidden="0" customWidth="1"/>
    <x:col min="6" max="6" width="16" hidden="0" customWidth="1"/>
    <x:col min="7" max="7" width="18" hidden="0" customWidth="1"/>
    <x:col min="8" max="8" width="32" hidden="0" customWidth="1"/>
    <x:col min="9" max="9" width="14" hidden="0" customWidth="1"/>
    <x:col min="10" max="10" width="22" hidden="0" customWidth="1"/>
    <x:col min="11" max="11" width="28" hidden="0" customWidth="1"/>
  </x:cols>
  <x:sheetData>
    <x:row r="1">
      <x:c r="A1" s="14" t="str">
        <x:v>ACC_ID</x:v>
      </x:c>
      <x:c r="B1" s="14" t="str">
        <x:v>PROJECT_ID</x:v>
      </x:c>
      <x:c r="C1" s="14" t="str">
        <x:v>WORK_ID</x:v>
      </x:c>
      <x:c r="D1" s="14" t="str">
        <x:v>Ngày nghiệm thu</x:v>
      </x:c>
      <x:c r="E1" s="14" t="str">
        <x:v>Khối lượng nghiệm thu</x:v>
      </x:c>
      <x:c r="F1" s="14" t="str">
        <x:v>Giá trị nghiệm thu</x:v>
      </x:c>
      <x:c r="G1" s="14" t="str">
        <x:v>Kết quả</x:v>
      </x:c>
      <x:c r="H1" s="14" t="str">
        <x:v>Lỗi/tồn tại</x:v>
      </x:c>
      <x:c r="I1" s="14" t="str">
        <x:v>Hạn khắc phục</x:v>
      </x:c>
      <x:c r="J1" s="14" t="str">
        <x:v>Người xác nhận</x:v>
      </x:c>
      <x:c r="K1" s="14" t="str">
        <x:v>Ghi chú</x:v>
      </x:c>
    </x:row>
    <x:row r="2">
      <x:c r="A2" t="str">
        <x:v>ACC-001</x:v>
      </x:c>
      <x:c r="B2" t="str">
        <x:v>LXS-REPAIR-2026-001</x:v>
      </x:c>
      <x:c r="C2" t="str">
        <x:v>W-001</x:v>
      </x:c>
      <x:c r="D2" s="34" t="n">
        <x:v>46269</x:v>
      </x:c>
      <x:c r="E2" t="str">
        <x:v>120 m2</x:v>
      </x:c>
      <x:c r="F2" s="36" t="n">
        <x:v>14400000</x:v>
      </x:c>
      <x:c r="G2" t="str">
        <x:v>Đạt</x:v>
      </x:c>
      <x:c r="H2" t="str"/>
      <x:c r="I2" t="str"/>
      <x:c r="J2" t="str">
        <x:v>Chủ đầu tư/NT</x:v>
      </x:c>
      <x:c r="K2" t="str"/>
    </x:row>
    <x:row r="3">
      <x:c r="A3" t="str">
        <x:v>ACC-002</x:v>
      </x:c>
      <x:c r="B3" t="str">
        <x:v>LXS-REPAIR-2026-001</x:v>
      </x:c>
      <x:c r="C3" t="str">
        <x:v>W-002</x:v>
      </x:c>
      <x:c r="D3" s="34" t="n">
        <x:v>46277</x:v>
      </x:c>
      <x:c r="E3" t="str">
        <x:v>24 md</x:v>
      </x:c>
      <x:c r="F3" s="36" t="n">
        <x:v>20400000</x:v>
      </x:c>
      <x:c r="G3" t="str">
        <x:v>Đạt</x:v>
      </x:c>
      <x:c r="H3" t="str"/>
      <x:c r="I3" t="str"/>
      <x:c r="J3" t="str">
        <x:v>Chủ đầu tư/NT</x:v>
      </x:c>
      <x:c r="K3" t="str"/>
    </x:row>
  </x:sheetData>
  <x:pageMargins left="0.7" right="0.7" top="0.75" bottom="0.75" header="0.3" footer="0.3"/>
  <x:tableParts count="1">
    <x:tablePart xmlns:r="http://schemas.openxmlformats.org/officeDocument/2006/relationships" r:id="R78412b2f10b948b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2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>
      <x:c r="A1" s="14" t="str">
        <x:v>PAY_ID</x:v>
      </x:c>
      <x:c r="B1" s="14" t="str">
        <x:v>PROJECT_ID</x:v>
      </x:c>
      <x:c r="C1" s="14" t="str">
        <x:v>CONTRACT_ID</x:v>
      </x:c>
      <x:c r="D1" s="14" t="str">
        <x:v>Đợt</x:v>
      </x:c>
      <x:c r="E1" s="14" t="str">
        <x:v>Ngày đề nghị</x:v>
      </x:c>
      <x:c r="F1" s="14" t="str">
        <x:v>Giá trị đề nghị</x:v>
      </x:c>
      <x:c r="G1" s="14" t="str">
        <x:v>Giá trị được duyệt</x:v>
      </x:c>
      <x:c r="H1" s="14" t="str">
        <x:v>Đã thanh toán</x:v>
      </x:c>
      <x:c r="I1" s="14" t="str">
        <x:v>Ngày thanh toán</x:v>
      </x:c>
      <x:c r="J1" s="14" t="str">
        <x:v>Hình thức</x:v>
      </x:c>
      <x:c r="K1" s="14" t="str">
        <x:v>Trạng thái</x:v>
      </x:c>
      <x:c r="L1" s="14" t="str">
        <x:v>Ghi chú</x:v>
      </x:c>
    </x:row>
    <x:row r="2">
      <x:c r="A2" t="str">
        <x:v>PAY-001</x:v>
      </x:c>
      <x:c r="B2" t="str">
        <x:v>LXS-REPAIR-2026-001</x:v>
      </x:c>
      <x:c r="C2" t="str">
        <x:v>HD-001</x:v>
      </x:c>
      <x:c r="D2" t="str">
        <x:v>Tạm ứng</x:v>
      </x:c>
      <x:c r="E2" s="34" t="n">
        <x:v>46263</x:v>
      </x:c>
      <x:c r="F2" s="36" t="n">
        <x:v>100000000</x:v>
      </x:c>
      <x:c r="G2" s="36" t="n">
        <x:v>100000000</x:v>
      </x:c>
      <x:c r="H2" s="36" t="n">
        <x:v>100000000</x:v>
      </x:c>
      <x:c r="I2" s="34" t="n">
        <x:v>46264</x:v>
      </x:c>
      <x:c r="J2" t="str">
        <x:v>Chuyển khoản</x:v>
      </x:c>
      <x:c r="K2" t="str">
        <x:v>Đã thanh toán</x:v>
      </x:c>
      <x:c r="L2" t="str"/>
    </x:row>
    <x:row r="3">
      <x:c r="A3" t="str">
        <x:v>PAY-002</x:v>
      </x:c>
      <x:c r="B3" t="str">
        <x:v>LXS-REPAIR-2026-001</x:v>
      </x:c>
      <x:c r="C3" t="str">
        <x:v>HD-001</x:v>
      </x:c>
      <x:c r="D3" t="str">
        <x:v>Đợt 1</x:v>
      </x:c>
      <x:c r="E3" s="34" t="n">
        <x:v>46278</x:v>
      </x:c>
      <x:c r="F3" s="36" t="n">
        <x:v>120000000</x:v>
      </x:c>
      <x:c r="G3" s="36" t="n">
        <x:v>120000000</x:v>
      </x:c>
      <x:c r="H3" s="36" t="n">
        <x:v>120000000</x:v>
      </x:c>
      <x:c r="I3" s="34" t="n">
        <x:v>46279</x:v>
      </x:c>
      <x:c r="J3" t="str">
        <x:v>Chuyển khoản</x:v>
      </x:c>
      <x:c r="K3" t="str">
        <x:v>Đã thanh toán</x:v>
      </x:c>
      <x:c r="L3" t="str"/>
    </x:row>
  </x:sheetData>
  <x:pageMargins left="0.7" right="0.7" top="0.75" bottom="0.75" header="0.3" footer="0.3"/>
  <x:tableParts count="1">
    <x:tablePart xmlns:r="http://schemas.openxmlformats.org/officeDocument/2006/relationships" r:id="R0064b21e085b496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14" hidden="0" customWidth="1"/>
    <x:col min="6" max="6" width="18" hidden="0" customWidth="1"/>
    <x:col min="7" max="7" width="24" hidden="0" customWidth="1"/>
    <x:col min="8" max="8" width="32" hidden="0" customWidth="1"/>
    <x:col min="9" max="9" width="18" hidden="0" customWidth="1"/>
    <x:col min="10" max="10" width="16" hidden="0" customWidth="1"/>
    <x:col min="11" max="11" width="28" hidden="0" customWidth="1"/>
  </x:cols>
  <x:sheetData>
    <x:row r="1">
      <x:c r="A1" s="14" t="str">
        <x:v>WM_ID</x:v>
      </x:c>
      <x:c r="B1" s="14" t="str">
        <x:v>PROJECT_ID</x:v>
      </x:c>
      <x:c r="C1" s="14" t="str">
        <x:v>Hạng mục/Tài sản</x:v>
      </x:c>
      <x:c r="D1" s="14" t="str">
        <x:v>Loại</x:v>
      </x:c>
      <x:c r="E1" s="14" t="str">
        <x:v>Ngày bắt đầu</x:v>
      </x:c>
      <x:c r="F1" s="14" t="str">
        <x:v>Ngày kết thúc/đến hạn</x:v>
      </x:c>
      <x:c r="G1" s="14" t="str">
        <x:v>Nhà thầu phụ trách</x:v>
      </x:c>
      <x:c r="H1" s="14" t="str">
        <x:v>Nội dung theo dõi</x:v>
      </x:c>
      <x:c r="I1" s="14" t="str">
        <x:v>Trạng thái</x:v>
      </x:c>
      <x:c r="J1" s="14" t="str">
        <x:v>Chi phí</x:v>
      </x:c>
      <x:c r="K1" s="14" t="str">
        <x:v>Ghi chú</x:v>
      </x:c>
    </x:row>
    <x:row r="2">
      <x:c r="A2" t="str">
        <x:v>WM-001</x:v>
      </x:c>
      <x:c r="B2" t="str">
        <x:v>LXS-REPAIR-2026-001</x:v>
      </x:c>
      <x:c r="C2" t="str">
        <x:v>Chống thấm mái</x:v>
      </x:c>
      <x:c r="D2" t="str">
        <x:v>Bảo hành</x:v>
      </x:c>
      <x:c r="E2" s="34" t="n">
        <x:v>46327</x:v>
      </x:c>
      <x:c r="F2" s="34" t="n">
        <x:v>46691</x:v>
      </x:c>
      <x:c r="G2" t="str">
        <x:v>Nhà thầu xây lắp mẫu</x:v>
      </x:c>
      <x:c r="H2" t="str">
        <x:v>Bảo hành 12 tháng sau nghiệm thu</x:v>
      </x:c>
      <x:c r="I2" t="str">
        <x:v>Chưa bắt đầu</x:v>
      </x:c>
      <x:c r="J2" s="36" t="n">
        <x:v>0</x:v>
      </x:c>
      <x:c r="K2" t="str"/>
    </x:row>
    <x:row r="3">
      <x:c r="A3" t="str">
        <x:v>WM-002</x:v>
      </x:c>
      <x:c r="B3" t="str">
        <x:v>LXS-REPAIR-2026-001</x:v>
      </x:c>
      <x:c r="C3" t="str">
        <x:v>Hệ thống điện</x:v>
      </x:c>
      <x:c r="D3" t="str">
        <x:v>Bảo trì</x:v>
      </x:c>
      <x:c r="E3" s="34" t="n">
        <x:v>46508</x:v>
      </x:c>
      <x:c r="F3" s="34" t="n">
        <x:v>46508</x:v>
      </x:c>
      <x:c r="G3" t="str">
        <x:v>Đơn vị vận hành</x:v>
      </x:c>
      <x:c r="H3" t="str">
        <x:v>Kiểm tra mối nối, tủ điện</x:v>
      </x:c>
      <x:c r="I3" t="str">
        <x:v>Lên lịch</x:v>
      </x:c>
      <x:c r="J3" s="36" t="n">
        <x:v>0</x:v>
      </x:c>
      <x:c r="K3" t="str"/>
    </x:row>
  </x:sheetData>
  <x:pageMargins left="0.7" right="0.7" top="0.75" bottom="0.75" header="0.3" footer="0.3"/>
  <x:tableParts count="1">
    <x:tablePart xmlns:r="http://schemas.openxmlformats.org/officeDocument/2006/relationships" r:id="R10654cab1a7a471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4" hidden="0" customWidth="1"/>
  </x:cols>
  <x:sheetData>
    <x:row r="1">
      <x:c r="A1" s="14" t="str">
        <x:v>English</x:v>
      </x:c>
      <x:c r="B1" s="14" t="str">
        <x:v>Tiếng Việt</x:v>
      </x:c>
      <x:c r="C1" s="14" t="str">
        <x:v>Hiểu đơn giản</x:v>
      </x:c>
    </x:row>
    <x:row r="2">
      <x:c r="A2" t="str">
        <x:v>Project Delivery</x:v>
      </x:c>
      <x:c r="B2" t="str">
        <x:v>Quản trị thực hiện dự án</x:v>
      </x:c>
      <x:c r="C2" t="str">
        <x:v>Quản lý việc làm thật sau khi dự án được quyết định triển khai.</x:v>
      </x:c>
    </x:row>
    <x:row r="3">
      <x:c r="A3" t="str">
        <x:v>Scope</x:v>
      </x:c>
      <x:c r="B3" t="str">
        <x:v>Phạm vi công việc</x:v>
      </x:c>
      <x:c r="C3" t="str">
        <x:v>Những việc phải thực hiện.</x:v>
      </x:c>
    </x:row>
    <x:row r="4">
      <x:c r="A4" t="str">
        <x:v>Budget</x:v>
      </x:c>
      <x:c r="B4" t="str">
        <x:v>Ngân sách</x:v>
      </x:c>
      <x:c r="C4" t="str">
        <x:v>Số tiền dự kiến được phép sử dụng.</x:v>
      </x:c>
    </x:row>
    <x:row r="5">
      <x:c r="A5" t="str">
        <x:v>Schedule</x:v>
      </x:c>
      <x:c r="B5" t="str">
        <x:v>Tiến độ</x:v>
      </x:c>
      <x:c r="C5" t="str">
        <x:v>Kế hoạch thời gian thực hiện công việc.</x:v>
      </x:c>
    </x:row>
    <x:row r="6">
      <x:c r="A6" t="str">
        <x:v>Site Diary</x:v>
      </x:c>
      <x:c r="B6" t="str">
        <x:v>Nhật ký hiện trường</x:v>
      </x:c>
      <x:c r="C6" t="str">
        <x:v>Ghi chép công việc, nhân lực, sự cố, hình ảnh theo ngày.</x:v>
      </x:c>
    </x:row>
    <x:row r="7">
      <x:c r="A7" t="str">
        <x:v>Change Management</x:v>
      </x:c>
      <x:c r="B7" t="str">
        <x:v>Quản lý phát sinh/thay đổi</x:v>
      </x:c>
      <x:c r="C7" t="str">
        <x:v>Kiểm soát công việc hoặc giá trị ngoài kế hoạch ban đầu.</x:v>
      </x:c>
    </x:row>
    <x:row r="8">
      <x:c r="A8" t="str">
        <x:v>Acceptance</x:v>
      </x:c>
      <x:c r="B8" t="str">
        <x:v>Nghiệm thu</x:v>
      </x:c>
      <x:c r="C8" t="str">
        <x:v>Xác nhận khối lượng/chất lượng công việc đã hoàn thành.</x:v>
      </x:c>
    </x:row>
    <x:row r="9">
      <x:c r="A9" t="str">
        <x:v>Payment</x:v>
      </x:c>
      <x:c r="B9" t="str">
        <x:v>Thanh toán</x:v>
      </x:c>
      <x:c r="C9" t="str">
        <x:v>Chi trả trên cơ sở hợp đồng, nghiệm thu và phê duyệt.</x:v>
      </x:c>
    </x:row>
    <x:row r="10">
      <x:c r="A10" t="str">
        <x:v>Warranty</x:v>
      </x:c>
      <x:c r="B10" t="str">
        <x:v>Bảo hành</x:v>
      </x:c>
      <x:c r="C10" t="str">
        <x:v>Trách nhiệm sửa lỗi trong thời hạn sau bàn giao.</x:v>
      </x:c>
    </x:row>
    <x:row r="11">
      <x:c r="A11" t="str">
        <x:v>Maintenance</x:v>
      </x:c>
      <x:c r="B11" t="str">
        <x:v>Bảo trì</x:v>
      </x:c>
      <x:c r="C11" t="str">
        <x:v>Công việc định kỳ để duy trì tài sản hoạt động tốt.</x:v>
      </x:c>
    </x:row>
    <x:row r="12">
      <x:c r="A12" t="str">
        <x:v>WorkshopOps</x:v>
      </x:c>
      <x:c r="B12" t="str">
        <x:v>Quản trị xưởng</x:v>
      </x:c>
      <x:c r="C12" t="str">
        <x:v>Quản lý đơn hàng, vật tư, máy, nhân công, sản xuất và lợi nhuận xưởng.</x:v>
      </x:c>
    </x:row>
  </x:sheetData>
  <x:pageMargins left="0.7" right="0.7" top="0.75" bottom="0.75" header="0.3" footer="0.3"/>
  <x:tableParts count="1">
    <x:tablePart xmlns:r="http://schemas.openxmlformats.org/officeDocument/2006/relationships" r:id="R0c09cd8aed8c4ecb"/>
  </x:tableParts>
</x:worksheet>
</file>